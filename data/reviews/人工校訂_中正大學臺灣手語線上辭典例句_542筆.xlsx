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leo/Desktop/"/>
    </mc:Choice>
  </mc:AlternateContent>
  <xr:revisionPtr revIDLastSave="0" documentId="8_{E9FF8DCB-5BEC-FE4C-A999-E33100E1C0A0}" xr6:coauthVersionLast="47" xr6:coauthVersionMax="47" xr10:uidLastSave="{00000000-0000-0000-0000-000000000000}"/>
  <bookViews>
    <workbookView xWindow="0" yWindow="500" windowWidth="26620" windowHeight="15580" activeTab="1" xr2:uid="{00000000-000D-0000-FFFF-FFFF00000000}"/>
  </bookViews>
  <sheets>
    <sheet name="填寫說明" sheetId="1" r:id="rId1"/>
    <sheet name="人工校訂" sheetId="2" r:id="rId2"/>
    <sheet name="進度統計" sheetId="3" r:id="rId3"/>
    <sheet name="欄位選項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3" l="1"/>
  <c r="B4" i="3"/>
  <c r="X543" i="2"/>
  <c r="T543" i="2"/>
  <c r="U543" i="2" s="1"/>
  <c r="X542" i="2"/>
  <c r="T542" i="2"/>
  <c r="X541" i="2"/>
  <c r="T541" i="2"/>
  <c r="X540" i="2"/>
  <c r="T540" i="2"/>
  <c r="V540" i="2" s="1"/>
  <c r="W540" i="2" s="1"/>
  <c r="X539" i="2"/>
  <c r="T539" i="2"/>
  <c r="X538" i="2"/>
  <c r="T538" i="2"/>
  <c r="U538" i="2" s="1"/>
  <c r="X537" i="2"/>
  <c r="T537" i="2"/>
  <c r="V537" i="2" s="1"/>
  <c r="X536" i="2"/>
  <c r="T536" i="2"/>
  <c r="V536" i="2" s="1"/>
  <c r="X535" i="2"/>
  <c r="T535" i="2"/>
  <c r="V535" i="2" s="1"/>
  <c r="X534" i="2"/>
  <c r="U534" i="2"/>
  <c r="T534" i="2"/>
  <c r="V534" i="2" s="1"/>
  <c r="W534" i="2" s="1"/>
  <c r="X533" i="2"/>
  <c r="T533" i="2"/>
  <c r="U533" i="2" s="1"/>
  <c r="X532" i="2"/>
  <c r="T532" i="2"/>
  <c r="V532" i="2" s="1"/>
  <c r="W532" i="2" s="1"/>
  <c r="X531" i="2"/>
  <c r="T531" i="2"/>
  <c r="V531" i="2" s="1"/>
  <c r="X530" i="2"/>
  <c r="V530" i="2"/>
  <c r="W530" i="2" s="1"/>
  <c r="U530" i="2"/>
  <c r="T530" i="2"/>
  <c r="X529" i="2"/>
  <c r="T529" i="2"/>
  <c r="V529" i="2" s="1"/>
  <c r="X528" i="2"/>
  <c r="V528" i="2"/>
  <c r="U528" i="2"/>
  <c r="T528" i="2"/>
  <c r="X527" i="2"/>
  <c r="T527" i="2"/>
  <c r="X526" i="2"/>
  <c r="T526" i="2"/>
  <c r="V526" i="2" s="1"/>
  <c r="W526" i="2" s="1"/>
  <c r="X525" i="2"/>
  <c r="T525" i="2"/>
  <c r="X524" i="2"/>
  <c r="T524" i="2"/>
  <c r="V524" i="2" s="1"/>
  <c r="W524" i="2" s="1"/>
  <c r="X523" i="2"/>
  <c r="V523" i="2"/>
  <c r="T523" i="2"/>
  <c r="U523" i="2" s="1"/>
  <c r="X522" i="2"/>
  <c r="T522" i="2"/>
  <c r="U522" i="2" s="1"/>
  <c r="X521" i="2"/>
  <c r="T521" i="2"/>
  <c r="V521" i="2" s="1"/>
  <c r="X520" i="2"/>
  <c r="T520" i="2"/>
  <c r="V520" i="2" s="1"/>
  <c r="W520" i="2" s="1"/>
  <c r="X519" i="2"/>
  <c r="T519" i="2"/>
  <c r="X518" i="2"/>
  <c r="T518" i="2"/>
  <c r="V518" i="2" s="1"/>
  <c r="W518" i="2" s="1"/>
  <c r="X517" i="2"/>
  <c r="T517" i="2"/>
  <c r="V517" i="2" s="1"/>
  <c r="X516" i="2"/>
  <c r="T516" i="2"/>
  <c r="V516" i="2" s="1"/>
  <c r="X515" i="2"/>
  <c r="V515" i="2"/>
  <c r="U515" i="2"/>
  <c r="T515" i="2"/>
  <c r="X514" i="2"/>
  <c r="T514" i="2"/>
  <c r="U514" i="2" s="1"/>
  <c r="X513" i="2"/>
  <c r="T513" i="2"/>
  <c r="U513" i="2" s="1"/>
  <c r="X512" i="2"/>
  <c r="V512" i="2"/>
  <c r="W512" i="2" s="1"/>
  <c r="T512" i="2"/>
  <c r="U512" i="2" s="1"/>
  <c r="X511" i="2"/>
  <c r="T511" i="2"/>
  <c r="V511" i="2" s="1"/>
  <c r="X510" i="2"/>
  <c r="T510" i="2"/>
  <c r="V510" i="2" s="1"/>
  <c r="W510" i="2" s="1"/>
  <c r="X509" i="2"/>
  <c r="T509" i="2"/>
  <c r="V509" i="2" s="1"/>
  <c r="X508" i="2"/>
  <c r="U508" i="2"/>
  <c r="T508" i="2"/>
  <c r="V508" i="2" s="1"/>
  <c r="X507" i="2"/>
  <c r="T507" i="2"/>
  <c r="X506" i="2"/>
  <c r="V506" i="2"/>
  <c r="W506" i="2" s="1"/>
  <c r="T506" i="2"/>
  <c r="U506" i="2" s="1"/>
  <c r="X505" i="2"/>
  <c r="T505" i="2"/>
  <c r="X504" i="2"/>
  <c r="T504" i="2"/>
  <c r="U504" i="2" s="1"/>
  <c r="X503" i="2"/>
  <c r="V503" i="2"/>
  <c r="T503" i="2"/>
  <c r="U503" i="2" s="1"/>
  <c r="X502" i="2"/>
  <c r="V502" i="2"/>
  <c r="W502" i="2" s="1"/>
  <c r="U502" i="2"/>
  <c r="T502" i="2"/>
  <c r="X501" i="2"/>
  <c r="V501" i="2"/>
  <c r="T501" i="2"/>
  <c r="U501" i="2" s="1"/>
  <c r="X500" i="2"/>
  <c r="V500" i="2"/>
  <c r="U500" i="2"/>
  <c r="T500" i="2"/>
  <c r="X499" i="2"/>
  <c r="T499" i="2"/>
  <c r="X498" i="2"/>
  <c r="T498" i="2"/>
  <c r="V498" i="2" s="1"/>
  <c r="W498" i="2" s="1"/>
  <c r="X497" i="2"/>
  <c r="T497" i="2"/>
  <c r="X496" i="2"/>
  <c r="V496" i="2"/>
  <c r="T496" i="2"/>
  <c r="U496" i="2" s="1"/>
  <c r="X495" i="2"/>
  <c r="T495" i="2"/>
  <c r="V495" i="2" s="1"/>
  <c r="X494" i="2"/>
  <c r="V494" i="2"/>
  <c r="W494" i="2" s="1"/>
  <c r="T494" i="2"/>
  <c r="U494" i="2" s="1"/>
  <c r="X493" i="2"/>
  <c r="T493" i="2"/>
  <c r="U493" i="2" s="1"/>
  <c r="X492" i="2"/>
  <c r="T492" i="2"/>
  <c r="U492" i="2" s="1"/>
  <c r="X491" i="2"/>
  <c r="T491" i="2"/>
  <c r="X490" i="2"/>
  <c r="T490" i="2"/>
  <c r="V490" i="2" s="1"/>
  <c r="W490" i="2" s="1"/>
  <c r="X489" i="2"/>
  <c r="T489" i="2"/>
  <c r="V489" i="2" s="1"/>
  <c r="X488" i="2"/>
  <c r="T488" i="2"/>
  <c r="V488" i="2" s="1"/>
  <c r="W488" i="2" s="1"/>
  <c r="X487" i="2"/>
  <c r="T487" i="2"/>
  <c r="X486" i="2"/>
  <c r="T486" i="2"/>
  <c r="V486" i="2" s="1"/>
  <c r="W486" i="2" s="1"/>
  <c r="X485" i="2"/>
  <c r="T485" i="2"/>
  <c r="X484" i="2"/>
  <c r="V484" i="2"/>
  <c r="W484" i="2" s="1"/>
  <c r="U484" i="2"/>
  <c r="T484" i="2"/>
  <c r="X483" i="2"/>
  <c r="T483" i="2"/>
  <c r="V483" i="2" s="1"/>
  <c r="X482" i="2"/>
  <c r="V482" i="2"/>
  <c r="W482" i="2" s="1"/>
  <c r="U482" i="2"/>
  <c r="T482" i="2"/>
  <c r="X481" i="2"/>
  <c r="T481" i="2"/>
  <c r="V481" i="2" s="1"/>
  <c r="X480" i="2"/>
  <c r="V480" i="2"/>
  <c r="W480" i="2" s="1"/>
  <c r="T480" i="2"/>
  <c r="U480" i="2" s="1"/>
  <c r="X479" i="2"/>
  <c r="T479" i="2"/>
  <c r="X478" i="2"/>
  <c r="T478" i="2"/>
  <c r="V478" i="2" s="1"/>
  <c r="W478" i="2" s="1"/>
  <c r="X477" i="2"/>
  <c r="T477" i="2"/>
  <c r="X476" i="2"/>
  <c r="T476" i="2"/>
  <c r="V476" i="2" s="1"/>
  <c r="X475" i="2"/>
  <c r="T475" i="2"/>
  <c r="V475" i="2" s="1"/>
  <c r="X474" i="2"/>
  <c r="T474" i="2"/>
  <c r="V474" i="2" s="1"/>
  <c r="W474" i="2" s="1"/>
  <c r="X473" i="2"/>
  <c r="T473" i="2"/>
  <c r="U473" i="2" s="1"/>
  <c r="X472" i="2"/>
  <c r="V472" i="2"/>
  <c r="W472" i="2" s="1"/>
  <c r="T472" i="2"/>
  <c r="U472" i="2" s="1"/>
  <c r="X471" i="2"/>
  <c r="T471" i="2"/>
  <c r="X470" i="2"/>
  <c r="V470" i="2"/>
  <c r="W470" i="2" s="1"/>
  <c r="U470" i="2"/>
  <c r="T470" i="2"/>
  <c r="X469" i="2"/>
  <c r="T469" i="2"/>
  <c r="V469" i="2" s="1"/>
  <c r="X468" i="2"/>
  <c r="T468" i="2"/>
  <c r="V468" i="2" s="1"/>
  <c r="W468" i="2" s="1"/>
  <c r="X467" i="2"/>
  <c r="T467" i="2"/>
  <c r="X466" i="2"/>
  <c r="T466" i="2"/>
  <c r="X465" i="2"/>
  <c r="T465" i="2"/>
  <c r="X464" i="2"/>
  <c r="T464" i="2"/>
  <c r="V464" i="2" s="1"/>
  <c r="X463" i="2"/>
  <c r="V463" i="2"/>
  <c r="T463" i="2"/>
  <c r="U463" i="2" s="1"/>
  <c r="X462" i="2"/>
  <c r="T462" i="2"/>
  <c r="X461" i="2"/>
  <c r="T461" i="2"/>
  <c r="V461" i="2" s="1"/>
  <c r="X460" i="2"/>
  <c r="T460" i="2"/>
  <c r="V460" i="2" s="1"/>
  <c r="W460" i="2" s="1"/>
  <c r="X459" i="2"/>
  <c r="T459" i="2"/>
  <c r="U459" i="2" s="1"/>
  <c r="X458" i="2"/>
  <c r="T458" i="2"/>
  <c r="V458" i="2" s="1"/>
  <c r="W458" i="2" s="1"/>
  <c r="X457" i="2"/>
  <c r="T457" i="2"/>
  <c r="U457" i="2" s="1"/>
  <c r="X456" i="2"/>
  <c r="V456" i="2"/>
  <c r="T456" i="2"/>
  <c r="U456" i="2" s="1"/>
  <c r="X455" i="2"/>
  <c r="T455" i="2"/>
  <c r="X454" i="2"/>
  <c r="T454" i="2"/>
  <c r="V454" i="2" s="1"/>
  <c r="X453" i="2"/>
  <c r="T453" i="2"/>
  <c r="U453" i="2" s="1"/>
  <c r="X452" i="2"/>
  <c r="T452" i="2"/>
  <c r="V452" i="2" s="1"/>
  <c r="W452" i="2" s="1"/>
  <c r="X451" i="2"/>
  <c r="T451" i="2"/>
  <c r="X450" i="2"/>
  <c r="T450" i="2"/>
  <c r="V450" i="2" s="1"/>
  <c r="X449" i="2"/>
  <c r="T449" i="2"/>
  <c r="U449" i="2" s="1"/>
  <c r="X448" i="2"/>
  <c r="V448" i="2"/>
  <c r="T448" i="2"/>
  <c r="U448" i="2" s="1"/>
  <c r="X447" i="2"/>
  <c r="T447" i="2"/>
  <c r="X446" i="2"/>
  <c r="T446" i="2"/>
  <c r="V446" i="2" s="1"/>
  <c r="W446" i="2" s="1"/>
  <c r="X445" i="2"/>
  <c r="T445" i="2"/>
  <c r="X444" i="2"/>
  <c r="T444" i="2"/>
  <c r="X443" i="2"/>
  <c r="T443" i="2"/>
  <c r="V443" i="2" s="1"/>
  <c r="X442" i="2"/>
  <c r="T442" i="2"/>
  <c r="V442" i="2" s="1"/>
  <c r="X441" i="2"/>
  <c r="V441" i="2"/>
  <c r="U441" i="2"/>
  <c r="T441" i="2"/>
  <c r="X440" i="2"/>
  <c r="T440" i="2"/>
  <c r="X439" i="2"/>
  <c r="T439" i="2"/>
  <c r="X438" i="2"/>
  <c r="V438" i="2"/>
  <c r="W438" i="2" s="1"/>
  <c r="U438" i="2"/>
  <c r="T438" i="2"/>
  <c r="X437" i="2"/>
  <c r="T437" i="2"/>
  <c r="V437" i="2" s="1"/>
  <c r="X436" i="2"/>
  <c r="T436" i="2"/>
  <c r="X435" i="2"/>
  <c r="V435" i="2"/>
  <c r="T435" i="2"/>
  <c r="X434" i="2"/>
  <c r="T434" i="2"/>
  <c r="X433" i="2"/>
  <c r="T433" i="2"/>
  <c r="X432" i="2"/>
  <c r="V432" i="2"/>
  <c r="W432" i="2" s="1"/>
  <c r="T432" i="2"/>
  <c r="U432" i="2" s="1"/>
  <c r="X431" i="2"/>
  <c r="T431" i="2"/>
  <c r="X430" i="2"/>
  <c r="T430" i="2"/>
  <c r="U430" i="2" s="1"/>
  <c r="X429" i="2"/>
  <c r="V429" i="2"/>
  <c r="T429" i="2"/>
  <c r="U429" i="2" s="1"/>
  <c r="X428" i="2"/>
  <c r="T428" i="2"/>
  <c r="X427" i="2"/>
  <c r="T427" i="2"/>
  <c r="U427" i="2" s="1"/>
  <c r="X426" i="2"/>
  <c r="T426" i="2"/>
  <c r="X425" i="2"/>
  <c r="T425" i="2"/>
  <c r="X424" i="2"/>
  <c r="T424" i="2"/>
  <c r="V424" i="2" s="1"/>
  <c r="X423" i="2"/>
  <c r="T423" i="2"/>
  <c r="V423" i="2" s="1"/>
  <c r="X422" i="2"/>
  <c r="T422" i="2"/>
  <c r="X421" i="2"/>
  <c r="T421" i="2"/>
  <c r="V421" i="2" s="1"/>
  <c r="X420" i="2"/>
  <c r="T420" i="2"/>
  <c r="X419" i="2"/>
  <c r="T419" i="2"/>
  <c r="V419" i="2" s="1"/>
  <c r="X418" i="2"/>
  <c r="T418" i="2"/>
  <c r="V418" i="2" s="1"/>
  <c r="W418" i="2" s="1"/>
  <c r="X417" i="2"/>
  <c r="T417" i="2"/>
  <c r="V417" i="2" s="1"/>
  <c r="X416" i="2"/>
  <c r="T416" i="2"/>
  <c r="U416" i="2" s="1"/>
  <c r="X415" i="2"/>
  <c r="T415" i="2"/>
  <c r="V415" i="2" s="1"/>
  <c r="X414" i="2"/>
  <c r="T414" i="2"/>
  <c r="X413" i="2"/>
  <c r="T413" i="2"/>
  <c r="U413" i="2" s="1"/>
  <c r="X412" i="2"/>
  <c r="V412" i="2"/>
  <c r="U412" i="2"/>
  <c r="T412" i="2"/>
  <c r="X411" i="2"/>
  <c r="T411" i="2"/>
  <c r="V411" i="2" s="1"/>
  <c r="X410" i="2"/>
  <c r="T410" i="2"/>
  <c r="V410" i="2" s="1"/>
  <c r="W410" i="2" s="1"/>
  <c r="X409" i="2"/>
  <c r="T409" i="2"/>
  <c r="V409" i="2" s="1"/>
  <c r="X408" i="2"/>
  <c r="T408" i="2"/>
  <c r="X407" i="2"/>
  <c r="T407" i="2"/>
  <c r="X406" i="2"/>
  <c r="V406" i="2"/>
  <c r="T406" i="2"/>
  <c r="W406" i="2" s="1"/>
  <c r="X405" i="2"/>
  <c r="T405" i="2"/>
  <c r="X404" i="2"/>
  <c r="T404" i="2"/>
  <c r="V404" i="2" s="1"/>
  <c r="X403" i="2"/>
  <c r="T403" i="2"/>
  <c r="U403" i="2" s="1"/>
  <c r="X402" i="2"/>
  <c r="T402" i="2"/>
  <c r="V402" i="2" s="1"/>
  <c r="X401" i="2"/>
  <c r="T401" i="2"/>
  <c r="U401" i="2" s="1"/>
  <c r="X400" i="2"/>
  <c r="T400" i="2"/>
  <c r="X399" i="2"/>
  <c r="T399" i="2"/>
  <c r="U399" i="2" s="1"/>
  <c r="X398" i="2"/>
  <c r="T398" i="2"/>
  <c r="V398" i="2" s="1"/>
  <c r="X397" i="2"/>
  <c r="T397" i="2"/>
  <c r="U397" i="2" s="1"/>
  <c r="X396" i="2"/>
  <c r="T396" i="2"/>
  <c r="X395" i="2"/>
  <c r="T395" i="2"/>
  <c r="X394" i="2"/>
  <c r="T394" i="2"/>
  <c r="U394" i="2" s="1"/>
  <c r="X393" i="2"/>
  <c r="T393" i="2"/>
  <c r="U393" i="2" s="1"/>
  <c r="X392" i="2"/>
  <c r="T392" i="2"/>
  <c r="V392" i="2" s="1"/>
  <c r="W392" i="2" s="1"/>
  <c r="X391" i="2"/>
  <c r="T391" i="2"/>
  <c r="X390" i="2"/>
  <c r="T390" i="2"/>
  <c r="X389" i="2"/>
  <c r="T389" i="2"/>
  <c r="V389" i="2" s="1"/>
  <c r="X388" i="2"/>
  <c r="W388" i="2" s="1"/>
  <c r="T388" i="2"/>
  <c r="V388" i="2" s="1"/>
  <c r="X387" i="2"/>
  <c r="T387" i="2"/>
  <c r="X386" i="2"/>
  <c r="T386" i="2"/>
  <c r="U386" i="2" s="1"/>
  <c r="X385" i="2"/>
  <c r="T385" i="2"/>
  <c r="X384" i="2"/>
  <c r="T384" i="2"/>
  <c r="V384" i="2" s="1"/>
  <c r="X383" i="2"/>
  <c r="T383" i="2"/>
  <c r="V383" i="2" s="1"/>
  <c r="X382" i="2"/>
  <c r="T382" i="2"/>
  <c r="V382" i="2" s="1"/>
  <c r="X381" i="2"/>
  <c r="T381" i="2"/>
  <c r="X380" i="2"/>
  <c r="T380" i="2"/>
  <c r="X379" i="2"/>
  <c r="T379" i="2"/>
  <c r="V379" i="2" s="1"/>
  <c r="X378" i="2"/>
  <c r="T378" i="2"/>
  <c r="V378" i="2" s="1"/>
  <c r="W378" i="2" s="1"/>
  <c r="X377" i="2"/>
  <c r="T377" i="2"/>
  <c r="U377" i="2" s="1"/>
  <c r="X376" i="2"/>
  <c r="T376" i="2"/>
  <c r="X375" i="2"/>
  <c r="T375" i="2"/>
  <c r="U375" i="2" s="1"/>
  <c r="X374" i="2"/>
  <c r="T374" i="2"/>
  <c r="X373" i="2"/>
  <c r="T373" i="2"/>
  <c r="X372" i="2"/>
  <c r="T372" i="2"/>
  <c r="V372" i="2" s="1"/>
  <c r="X371" i="2"/>
  <c r="T371" i="2"/>
  <c r="U371" i="2" s="1"/>
  <c r="X370" i="2"/>
  <c r="T370" i="2"/>
  <c r="V370" i="2" s="1"/>
  <c r="X369" i="2"/>
  <c r="V369" i="2"/>
  <c r="W369" i="2" s="1"/>
  <c r="T369" i="2"/>
  <c r="U369" i="2" s="1"/>
  <c r="X368" i="2"/>
  <c r="T368" i="2"/>
  <c r="V368" i="2" s="1"/>
  <c r="X367" i="2"/>
  <c r="T367" i="2"/>
  <c r="V367" i="2" s="1"/>
  <c r="W367" i="2" s="1"/>
  <c r="X366" i="2"/>
  <c r="T366" i="2"/>
  <c r="X365" i="2"/>
  <c r="T365" i="2"/>
  <c r="V365" i="2" s="1"/>
  <c r="X364" i="2"/>
  <c r="T364" i="2"/>
  <c r="X363" i="2"/>
  <c r="T363" i="2"/>
  <c r="X362" i="2"/>
  <c r="T362" i="2"/>
  <c r="V362" i="2" s="1"/>
  <c r="X361" i="2"/>
  <c r="V361" i="2"/>
  <c r="T361" i="2"/>
  <c r="U361" i="2" s="1"/>
  <c r="X360" i="2"/>
  <c r="T360" i="2"/>
  <c r="V360" i="2" s="1"/>
  <c r="X359" i="2"/>
  <c r="T359" i="2"/>
  <c r="X358" i="2"/>
  <c r="T358" i="2"/>
  <c r="V358" i="2" s="1"/>
  <c r="X357" i="2"/>
  <c r="T357" i="2"/>
  <c r="X356" i="2"/>
  <c r="U356" i="2"/>
  <c r="T356" i="2"/>
  <c r="X355" i="2"/>
  <c r="T355" i="2"/>
  <c r="X354" i="2"/>
  <c r="T354" i="2"/>
  <c r="X353" i="2"/>
  <c r="T353" i="2"/>
  <c r="X352" i="2"/>
  <c r="T352" i="2"/>
  <c r="V352" i="2" s="1"/>
  <c r="X351" i="2"/>
  <c r="T351" i="2"/>
  <c r="U351" i="2" s="1"/>
  <c r="X350" i="2"/>
  <c r="T350" i="2"/>
  <c r="V350" i="2" s="1"/>
  <c r="X349" i="2"/>
  <c r="T349" i="2"/>
  <c r="V349" i="2" s="1"/>
  <c r="W349" i="2" s="1"/>
  <c r="X348" i="2"/>
  <c r="T348" i="2"/>
  <c r="U348" i="2" s="1"/>
  <c r="X347" i="2"/>
  <c r="V347" i="2"/>
  <c r="U347" i="2"/>
  <c r="T347" i="2"/>
  <c r="X346" i="2"/>
  <c r="T346" i="2"/>
  <c r="U346" i="2" s="1"/>
  <c r="X345" i="2"/>
  <c r="T345" i="2"/>
  <c r="V345" i="2" s="1"/>
  <c r="X344" i="2"/>
  <c r="T344" i="2"/>
  <c r="X343" i="2"/>
  <c r="T343" i="2"/>
  <c r="U343" i="2" s="1"/>
  <c r="X342" i="2"/>
  <c r="T342" i="2"/>
  <c r="V342" i="2" s="1"/>
  <c r="X341" i="2"/>
  <c r="T341" i="2"/>
  <c r="V341" i="2" s="1"/>
  <c r="W341" i="2" s="1"/>
  <c r="X340" i="2"/>
  <c r="W340" i="2" s="1"/>
  <c r="T340" i="2"/>
  <c r="V340" i="2" s="1"/>
  <c r="X339" i="2"/>
  <c r="T339" i="2"/>
  <c r="U339" i="2" s="1"/>
  <c r="X338" i="2"/>
  <c r="T338" i="2"/>
  <c r="V338" i="2" s="1"/>
  <c r="X337" i="2"/>
  <c r="T337" i="2"/>
  <c r="X336" i="2"/>
  <c r="T336" i="2"/>
  <c r="X335" i="2"/>
  <c r="T335" i="2"/>
  <c r="U335" i="2" s="1"/>
  <c r="X334" i="2"/>
  <c r="T334" i="2"/>
  <c r="X333" i="2"/>
  <c r="T333" i="2"/>
  <c r="X332" i="2"/>
  <c r="T332" i="2"/>
  <c r="V332" i="2" s="1"/>
  <c r="X331" i="2"/>
  <c r="T331" i="2"/>
  <c r="U331" i="2" s="1"/>
  <c r="X330" i="2"/>
  <c r="T330" i="2"/>
  <c r="X329" i="2"/>
  <c r="V329" i="2"/>
  <c r="W329" i="2" s="1"/>
  <c r="T329" i="2"/>
  <c r="U329" i="2" s="1"/>
  <c r="X328" i="2"/>
  <c r="T328" i="2"/>
  <c r="X327" i="2"/>
  <c r="T327" i="2"/>
  <c r="V327" i="2" s="1"/>
  <c r="X326" i="2"/>
  <c r="T326" i="2"/>
  <c r="X325" i="2"/>
  <c r="T325" i="2"/>
  <c r="X324" i="2"/>
  <c r="T324" i="2"/>
  <c r="X323" i="2"/>
  <c r="T323" i="2"/>
  <c r="X322" i="2"/>
  <c r="T322" i="2"/>
  <c r="V322" i="2" s="1"/>
  <c r="X321" i="2"/>
  <c r="V321" i="2"/>
  <c r="T321" i="2"/>
  <c r="U321" i="2" s="1"/>
  <c r="X320" i="2"/>
  <c r="T320" i="2"/>
  <c r="V320" i="2" s="1"/>
  <c r="X319" i="2"/>
  <c r="T319" i="2"/>
  <c r="V319" i="2" s="1"/>
  <c r="W319" i="2" s="1"/>
  <c r="X318" i="2"/>
  <c r="T318" i="2"/>
  <c r="V318" i="2" s="1"/>
  <c r="W318" i="2" s="1"/>
  <c r="X317" i="2"/>
  <c r="T317" i="2"/>
  <c r="X316" i="2"/>
  <c r="T316" i="2"/>
  <c r="U316" i="2" s="1"/>
  <c r="X315" i="2"/>
  <c r="T315" i="2"/>
  <c r="U315" i="2" s="1"/>
  <c r="X314" i="2"/>
  <c r="T314" i="2"/>
  <c r="X313" i="2"/>
  <c r="T313" i="2"/>
  <c r="X312" i="2"/>
  <c r="W312" i="2" s="1"/>
  <c r="T312" i="2"/>
  <c r="V312" i="2" s="1"/>
  <c r="X311" i="2"/>
  <c r="T311" i="2"/>
  <c r="U311" i="2" s="1"/>
  <c r="X310" i="2"/>
  <c r="T310" i="2"/>
  <c r="V310" i="2" s="1"/>
  <c r="X309" i="2"/>
  <c r="T309" i="2"/>
  <c r="V309" i="2" s="1"/>
  <c r="W309" i="2" s="1"/>
  <c r="X308" i="2"/>
  <c r="T308" i="2"/>
  <c r="V308" i="2" s="1"/>
  <c r="X307" i="2"/>
  <c r="T307" i="2"/>
  <c r="X306" i="2"/>
  <c r="T306" i="2"/>
  <c r="X305" i="2"/>
  <c r="T305" i="2"/>
  <c r="V305" i="2" s="1"/>
  <c r="X304" i="2"/>
  <c r="T304" i="2"/>
  <c r="X303" i="2"/>
  <c r="T303" i="2"/>
  <c r="X302" i="2"/>
  <c r="T302" i="2"/>
  <c r="V302" i="2" s="1"/>
  <c r="X301" i="2"/>
  <c r="T301" i="2"/>
  <c r="U301" i="2" s="1"/>
  <c r="X300" i="2"/>
  <c r="W300" i="2" s="1"/>
  <c r="T300" i="2"/>
  <c r="V300" i="2" s="1"/>
  <c r="X299" i="2"/>
  <c r="T299" i="2"/>
  <c r="X298" i="2"/>
  <c r="T298" i="2"/>
  <c r="V298" i="2" s="1"/>
  <c r="X297" i="2"/>
  <c r="T297" i="2"/>
  <c r="V297" i="2" s="1"/>
  <c r="X296" i="2"/>
  <c r="T296" i="2"/>
  <c r="X295" i="2"/>
  <c r="T295" i="2"/>
  <c r="X294" i="2"/>
  <c r="T294" i="2"/>
  <c r="X293" i="2"/>
  <c r="T293" i="2"/>
  <c r="X292" i="2"/>
  <c r="W292" i="2" s="1"/>
  <c r="U292" i="2"/>
  <c r="T292" i="2"/>
  <c r="V292" i="2" s="1"/>
  <c r="X291" i="2"/>
  <c r="T291" i="2"/>
  <c r="U291" i="2" s="1"/>
  <c r="X290" i="2"/>
  <c r="T290" i="2"/>
  <c r="X289" i="2"/>
  <c r="T289" i="2"/>
  <c r="V289" i="2" s="1"/>
  <c r="W289" i="2" s="1"/>
  <c r="X288" i="2"/>
  <c r="T288" i="2"/>
  <c r="X287" i="2"/>
  <c r="T287" i="2"/>
  <c r="X286" i="2"/>
  <c r="V286" i="2"/>
  <c r="T286" i="2"/>
  <c r="U286" i="2" s="1"/>
  <c r="X285" i="2"/>
  <c r="T285" i="2"/>
  <c r="V285" i="2" s="1"/>
  <c r="X284" i="2"/>
  <c r="T284" i="2"/>
  <c r="V284" i="2" s="1"/>
  <c r="X283" i="2"/>
  <c r="V283" i="2"/>
  <c r="T283" i="2"/>
  <c r="X282" i="2"/>
  <c r="T282" i="2"/>
  <c r="X281" i="2"/>
  <c r="T281" i="2"/>
  <c r="U281" i="2" s="1"/>
  <c r="X280" i="2"/>
  <c r="T280" i="2"/>
  <c r="X279" i="2"/>
  <c r="T279" i="2"/>
  <c r="V279" i="2" s="1"/>
  <c r="X278" i="2"/>
  <c r="T278" i="2"/>
  <c r="X277" i="2"/>
  <c r="T277" i="2"/>
  <c r="X276" i="2"/>
  <c r="V276" i="2"/>
  <c r="U276" i="2"/>
  <c r="T276" i="2"/>
  <c r="X275" i="2"/>
  <c r="T275" i="2"/>
  <c r="X274" i="2"/>
  <c r="T274" i="2"/>
  <c r="V274" i="2" s="1"/>
  <c r="X273" i="2"/>
  <c r="T273" i="2"/>
  <c r="X272" i="2"/>
  <c r="T272" i="2"/>
  <c r="X271" i="2"/>
  <c r="T271" i="2"/>
  <c r="V271" i="2" s="1"/>
  <c r="X270" i="2"/>
  <c r="T270" i="2"/>
  <c r="V270" i="2" s="1"/>
  <c r="X269" i="2"/>
  <c r="T269" i="2"/>
  <c r="V269" i="2" s="1"/>
  <c r="X268" i="2"/>
  <c r="T268" i="2"/>
  <c r="X267" i="2"/>
  <c r="T267" i="2"/>
  <c r="X266" i="2"/>
  <c r="T266" i="2"/>
  <c r="V266" i="2" s="1"/>
  <c r="X265" i="2"/>
  <c r="T265" i="2"/>
  <c r="U265" i="2" s="1"/>
  <c r="X264" i="2"/>
  <c r="T264" i="2"/>
  <c r="V264" i="2" s="1"/>
  <c r="X263" i="2"/>
  <c r="T263" i="2"/>
  <c r="X262" i="2"/>
  <c r="T262" i="2"/>
  <c r="X261" i="2"/>
  <c r="T261" i="2"/>
  <c r="V261" i="2" s="1"/>
  <c r="X260" i="2"/>
  <c r="T260" i="2"/>
  <c r="V260" i="2" s="1"/>
  <c r="X259" i="2"/>
  <c r="T259" i="2"/>
  <c r="V259" i="2" s="1"/>
  <c r="X258" i="2"/>
  <c r="T258" i="2"/>
  <c r="X257" i="2"/>
  <c r="T257" i="2"/>
  <c r="V257" i="2" s="1"/>
  <c r="X256" i="2"/>
  <c r="V256" i="2"/>
  <c r="U256" i="2"/>
  <c r="T256" i="2"/>
  <c r="X255" i="2"/>
  <c r="T255" i="2"/>
  <c r="V255" i="2" s="1"/>
  <c r="X254" i="2"/>
  <c r="T254" i="2"/>
  <c r="X253" i="2"/>
  <c r="T253" i="2"/>
  <c r="X252" i="2"/>
  <c r="T252" i="2"/>
  <c r="V252" i="2" s="1"/>
  <c r="X251" i="2"/>
  <c r="T251" i="2"/>
  <c r="V251" i="2" s="1"/>
  <c r="X250" i="2"/>
  <c r="V250" i="2"/>
  <c r="T250" i="2"/>
  <c r="X249" i="2"/>
  <c r="T249" i="2"/>
  <c r="X248" i="2"/>
  <c r="T248" i="2"/>
  <c r="X247" i="2"/>
  <c r="T247" i="2"/>
  <c r="V247" i="2" s="1"/>
  <c r="X246" i="2"/>
  <c r="T246" i="2"/>
  <c r="V246" i="2" s="1"/>
  <c r="X245" i="2"/>
  <c r="T245" i="2"/>
  <c r="X244" i="2"/>
  <c r="T244" i="2"/>
  <c r="X243" i="2"/>
  <c r="T243" i="2"/>
  <c r="X242" i="2"/>
  <c r="T242" i="2"/>
  <c r="V242" i="2" s="1"/>
  <c r="X241" i="2"/>
  <c r="V241" i="2"/>
  <c r="U241" i="2"/>
  <c r="T241" i="2"/>
  <c r="X240" i="2"/>
  <c r="T240" i="2"/>
  <c r="X239" i="2"/>
  <c r="T239" i="2"/>
  <c r="X238" i="2"/>
  <c r="T238" i="2"/>
  <c r="X237" i="2"/>
  <c r="T237" i="2"/>
  <c r="X236" i="2"/>
  <c r="T236" i="2"/>
  <c r="V236" i="2" s="1"/>
  <c r="X235" i="2"/>
  <c r="T235" i="2"/>
  <c r="X234" i="2"/>
  <c r="T234" i="2"/>
  <c r="X233" i="2"/>
  <c r="T233" i="2"/>
  <c r="X232" i="2"/>
  <c r="T232" i="2"/>
  <c r="X231" i="2"/>
  <c r="T231" i="2"/>
  <c r="V231" i="2" s="1"/>
  <c r="X230" i="2"/>
  <c r="T230" i="2"/>
  <c r="X229" i="2"/>
  <c r="T229" i="2"/>
  <c r="V229" i="2" s="1"/>
  <c r="X228" i="2"/>
  <c r="T228" i="2"/>
  <c r="X227" i="2"/>
  <c r="T227" i="2"/>
  <c r="X226" i="2"/>
  <c r="T226" i="2"/>
  <c r="V226" i="2" s="1"/>
  <c r="X225" i="2"/>
  <c r="T225" i="2"/>
  <c r="V225" i="2" s="1"/>
  <c r="X224" i="2"/>
  <c r="T224" i="2"/>
  <c r="V224" i="2" s="1"/>
  <c r="X223" i="2"/>
  <c r="T223" i="2"/>
  <c r="X222" i="2"/>
  <c r="T222" i="2"/>
  <c r="X221" i="2"/>
  <c r="T221" i="2"/>
  <c r="V221" i="2" s="1"/>
  <c r="X220" i="2"/>
  <c r="T220" i="2"/>
  <c r="V220" i="2" s="1"/>
  <c r="X219" i="2"/>
  <c r="T219" i="2"/>
  <c r="X218" i="2"/>
  <c r="T218" i="2"/>
  <c r="X217" i="2"/>
  <c r="T217" i="2"/>
  <c r="X216" i="2"/>
  <c r="T216" i="2"/>
  <c r="V216" i="2" s="1"/>
  <c r="X215" i="2"/>
  <c r="V215" i="2"/>
  <c r="T215" i="2"/>
  <c r="U215" i="2" s="1"/>
  <c r="X214" i="2"/>
  <c r="T214" i="2"/>
  <c r="V214" i="2" s="1"/>
  <c r="X213" i="2"/>
  <c r="T213" i="2"/>
  <c r="X212" i="2"/>
  <c r="V212" i="2"/>
  <c r="T212" i="2"/>
  <c r="X211" i="2"/>
  <c r="T211" i="2"/>
  <c r="V211" i="2" s="1"/>
  <c r="X210" i="2"/>
  <c r="T210" i="2"/>
  <c r="X209" i="2"/>
  <c r="T209" i="2"/>
  <c r="X208" i="2"/>
  <c r="T208" i="2"/>
  <c r="U208" i="2" s="1"/>
  <c r="X207" i="2"/>
  <c r="T207" i="2"/>
  <c r="X206" i="2"/>
  <c r="T206" i="2"/>
  <c r="V206" i="2" s="1"/>
  <c r="X205" i="2"/>
  <c r="T205" i="2"/>
  <c r="V205" i="2" s="1"/>
  <c r="X204" i="2"/>
  <c r="T204" i="2"/>
  <c r="V204" i="2" s="1"/>
  <c r="X203" i="2"/>
  <c r="U203" i="2"/>
  <c r="T203" i="2"/>
  <c r="X202" i="2"/>
  <c r="T202" i="2"/>
  <c r="V202" i="2" s="1"/>
  <c r="X201" i="2"/>
  <c r="T201" i="2"/>
  <c r="U201" i="2" s="1"/>
  <c r="X200" i="2"/>
  <c r="T200" i="2"/>
  <c r="V200" i="2" s="1"/>
  <c r="X199" i="2"/>
  <c r="T199" i="2"/>
  <c r="X198" i="2"/>
  <c r="T198" i="2"/>
  <c r="X197" i="2"/>
  <c r="T197" i="2"/>
  <c r="X196" i="2"/>
  <c r="T196" i="2"/>
  <c r="V196" i="2" s="1"/>
  <c r="X195" i="2"/>
  <c r="T195" i="2"/>
  <c r="X194" i="2"/>
  <c r="T194" i="2"/>
  <c r="V194" i="2" s="1"/>
  <c r="X193" i="2"/>
  <c r="T193" i="2"/>
  <c r="X192" i="2"/>
  <c r="T192" i="2"/>
  <c r="X191" i="2"/>
  <c r="T191" i="2"/>
  <c r="U191" i="2" s="1"/>
  <c r="X190" i="2"/>
  <c r="V190" i="2"/>
  <c r="T190" i="2"/>
  <c r="U190" i="2" s="1"/>
  <c r="X189" i="2"/>
  <c r="T189" i="2"/>
  <c r="V189" i="2" s="1"/>
  <c r="X188" i="2"/>
  <c r="T188" i="2"/>
  <c r="X187" i="2"/>
  <c r="T187" i="2"/>
  <c r="V187" i="2" s="1"/>
  <c r="X186" i="2"/>
  <c r="T186" i="2"/>
  <c r="U186" i="2" s="1"/>
  <c r="X185" i="2"/>
  <c r="T185" i="2"/>
  <c r="U185" i="2" s="1"/>
  <c r="X184" i="2"/>
  <c r="T184" i="2"/>
  <c r="X183" i="2"/>
  <c r="T183" i="2"/>
  <c r="U183" i="2" s="1"/>
  <c r="X182" i="2"/>
  <c r="T182" i="2"/>
  <c r="U182" i="2" s="1"/>
  <c r="X181" i="2"/>
  <c r="T181" i="2"/>
  <c r="U181" i="2" s="1"/>
  <c r="X180" i="2"/>
  <c r="T180" i="2"/>
  <c r="V180" i="2" s="1"/>
  <c r="X179" i="2"/>
  <c r="V179" i="2"/>
  <c r="W179" i="2" s="1"/>
  <c r="T179" i="2"/>
  <c r="U179" i="2" s="1"/>
  <c r="X178" i="2"/>
  <c r="T178" i="2"/>
  <c r="V178" i="2" s="1"/>
  <c r="X177" i="2"/>
  <c r="T177" i="2"/>
  <c r="X176" i="2"/>
  <c r="T176" i="2"/>
  <c r="X175" i="2"/>
  <c r="T175" i="2"/>
  <c r="U175" i="2" s="1"/>
  <c r="X174" i="2"/>
  <c r="T174" i="2"/>
  <c r="X173" i="2"/>
  <c r="T173" i="2"/>
  <c r="U173" i="2" s="1"/>
  <c r="X172" i="2"/>
  <c r="U172" i="2"/>
  <c r="T172" i="2"/>
  <c r="V172" i="2" s="1"/>
  <c r="X171" i="2"/>
  <c r="T171" i="2"/>
  <c r="U171" i="2" s="1"/>
  <c r="X170" i="2"/>
  <c r="T170" i="2"/>
  <c r="U170" i="2" s="1"/>
  <c r="X169" i="2"/>
  <c r="T169" i="2"/>
  <c r="U169" i="2" s="1"/>
  <c r="X168" i="2"/>
  <c r="T168" i="2"/>
  <c r="V168" i="2" s="1"/>
  <c r="W168" i="2" s="1"/>
  <c r="X167" i="2"/>
  <c r="T167" i="2"/>
  <c r="U167" i="2" s="1"/>
  <c r="X166" i="2"/>
  <c r="T166" i="2"/>
  <c r="X165" i="2"/>
  <c r="T165" i="2"/>
  <c r="U165" i="2" s="1"/>
  <c r="X164" i="2"/>
  <c r="T164" i="2"/>
  <c r="U164" i="2" s="1"/>
  <c r="X163" i="2"/>
  <c r="T163" i="2"/>
  <c r="U163" i="2" s="1"/>
  <c r="X162" i="2"/>
  <c r="T162" i="2"/>
  <c r="V162" i="2" s="1"/>
  <c r="W162" i="2" s="1"/>
  <c r="X161" i="2"/>
  <c r="T161" i="2"/>
  <c r="U161" i="2" s="1"/>
  <c r="X160" i="2"/>
  <c r="T160" i="2"/>
  <c r="X159" i="2"/>
  <c r="T159" i="2"/>
  <c r="U159" i="2" s="1"/>
  <c r="X158" i="2"/>
  <c r="T158" i="2"/>
  <c r="V158" i="2" s="1"/>
  <c r="X157" i="2"/>
  <c r="T157" i="2"/>
  <c r="X156" i="2"/>
  <c r="T156" i="2"/>
  <c r="U156" i="2" s="1"/>
  <c r="X155" i="2"/>
  <c r="T155" i="2"/>
  <c r="U155" i="2" s="1"/>
  <c r="X154" i="2"/>
  <c r="T154" i="2"/>
  <c r="X153" i="2"/>
  <c r="V153" i="2"/>
  <c r="W153" i="2" s="1"/>
  <c r="T153" i="2"/>
  <c r="U153" i="2" s="1"/>
  <c r="X152" i="2"/>
  <c r="W152" i="2" s="1"/>
  <c r="T152" i="2"/>
  <c r="V152" i="2" s="1"/>
  <c r="X151" i="2"/>
  <c r="T151" i="2"/>
  <c r="X150" i="2"/>
  <c r="T150" i="2"/>
  <c r="U150" i="2" s="1"/>
  <c r="X149" i="2"/>
  <c r="T149" i="2"/>
  <c r="U149" i="2" s="1"/>
  <c r="X148" i="2"/>
  <c r="T148" i="2"/>
  <c r="V148" i="2" s="1"/>
  <c r="W148" i="2" s="1"/>
  <c r="X147" i="2"/>
  <c r="T147" i="2"/>
  <c r="U147" i="2" s="1"/>
  <c r="X146" i="2"/>
  <c r="T146" i="2"/>
  <c r="X145" i="2"/>
  <c r="T145" i="2"/>
  <c r="U145" i="2" s="1"/>
  <c r="X144" i="2"/>
  <c r="T144" i="2"/>
  <c r="U144" i="2" s="1"/>
  <c r="X143" i="2"/>
  <c r="V143" i="2"/>
  <c r="T143" i="2"/>
  <c r="U143" i="2" s="1"/>
  <c r="X142" i="2"/>
  <c r="T142" i="2"/>
  <c r="V142" i="2" s="1"/>
  <c r="W142" i="2" s="1"/>
  <c r="X141" i="2"/>
  <c r="T141" i="2"/>
  <c r="U141" i="2" s="1"/>
  <c r="X140" i="2"/>
  <c r="T140" i="2"/>
  <c r="X139" i="2"/>
  <c r="T139" i="2"/>
  <c r="U139" i="2" s="1"/>
  <c r="X138" i="2"/>
  <c r="T138" i="2"/>
  <c r="V138" i="2" s="1"/>
  <c r="X137" i="2"/>
  <c r="T137" i="2"/>
  <c r="X136" i="2"/>
  <c r="T136" i="2"/>
  <c r="X135" i="2"/>
  <c r="T135" i="2"/>
  <c r="U135" i="2" s="1"/>
  <c r="X134" i="2"/>
  <c r="T134" i="2"/>
  <c r="X133" i="2"/>
  <c r="V133" i="2"/>
  <c r="T133" i="2"/>
  <c r="U133" i="2" s="1"/>
  <c r="X132" i="2"/>
  <c r="T132" i="2"/>
  <c r="V132" i="2" s="1"/>
  <c r="X131" i="2"/>
  <c r="T131" i="2"/>
  <c r="X130" i="2"/>
  <c r="V130" i="2"/>
  <c r="W130" i="2" s="1"/>
  <c r="T130" i="2"/>
  <c r="U130" i="2" s="1"/>
  <c r="X129" i="2"/>
  <c r="T129" i="2"/>
  <c r="U129" i="2" s="1"/>
  <c r="X128" i="2"/>
  <c r="T128" i="2"/>
  <c r="U128" i="2" s="1"/>
  <c r="X127" i="2"/>
  <c r="T127" i="2"/>
  <c r="U127" i="2" s="1"/>
  <c r="X126" i="2"/>
  <c r="T126" i="2"/>
  <c r="X125" i="2"/>
  <c r="T125" i="2"/>
  <c r="U125" i="2" s="1"/>
  <c r="X124" i="2"/>
  <c r="T124" i="2"/>
  <c r="U124" i="2" s="1"/>
  <c r="X123" i="2"/>
  <c r="T123" i="2"/>
  <c r="U123" i="2" s="1"/>
  <c r="X122" i="2"/>
  <c r="T122" i="2"/>
  <c r="V122" i="2" s="1"/>
  <c r="W122" i="2" s="1"/>
  <c r="X121" i="2"/>
  <c r="T121" i="2"/>
  <c r="U121" i="2" s="1"/>
  <c r="X120" i="2"/>
  <c r="T120" i="2"/>
  <c r="X119" i="2"/>
  <c r="T119" i="2"/>
  <c r="U119" i="2" s="1"/>
  <c r="X118" i="2"/>
  <c r="T118" i="2"/>
  <c r="U118" i="2" s="1"/>
  <c r="X117" i="2"/>
  <c r="T117" i="2"/>
  <c r="X116" i="2"/>
  <c r="T116" i="2"/>
  <c r="X115" i="2"/>
  <c r="T115" i="2"/>
  <c r="U115" i="2" s="1"/>
  <c r="X114" i="2"/>
  <c r="T114" i="2"/>
  <c r="X113" i="2"/>
  <c r="V113" i="2"/>
  <c r="W113" i="2" s="1"/>
  <c r="T113" i="2"/>
  <c r="U113" i="2" s="1"/>
  <c r="X112" i="2"/>
  <c r="T112" i="2"/>
  <c r="V112" i="2" s="1"/>
  <c r="X111" i="2"/>
  <c r="T111" i="2"/>
  <c r="X110" i="2"/>
  <c r="T110" i="2"/>
  <c r="U110" i="2" s="1"/>
  <c r="X109" i="2"/>
  <c r="T109" i="2"/>
  <c r="U109" i="2" s="1"/>
  <c r="X108" i="2"/>
  <c r="T108" i="2"/>
  <c r="U108" i="2" s="1"/>
  <c r="X107" i="2"/>
  <c r="T107" i="2"/>
  <c r="U107" i="2" s="1"/>
  <c r="X106" i="2"/>
  <c r="T106" i="2"/>
  <c r="X105" i="2"/>
  <c r="T105" i="2"/>
  <c r="U105" i="2" s="1"/>
  <c r="X104" i="2"/>
  <c r="V104" i="2"/>
  <c r="W104" i="2" s="1"/>
  <c r="T104" i="2"/>
  <c r="U104" i="2" s="1"/>
  <c r="X103" i="2"/>
  <c r="T103" i="2"/>
  <c r="U103" i="2" s="1"/>
  <c r="X102" i="2"/>
  <c r="T102" i="2"/>
  <c r="U102" i="2" s="1"/>
  <c r="X101" i="2"/>
  <c r="T101" i="2"/>
  <c r="U101" i="2" s="1"/>
  <c r="X100" i="2"/>
  <c r="T100" i="2"/>
  <c r="U100" i="2" s="1"/>
  <c r="X99" i="2"/>
  <c r="T99" i="2"/>
  <c r="U99" i="2" s="1"/>
  <c r="X98" i="2"/>
  <c r="T98" i="2"/>
  <c r="X97" i="2"/>
  <c r="T97" i="2"/>
  <c r="X96" i="2"/>
  <c r="T96" i="2"/>
  <c r="X95" i="2"/>
  <c r="T95" i="2"/>
  <c r="U95" i="2" s="1"/>
  <c r="X94" i="2"/>
  <c r="T94" i="2"/>
  <c r="X93" i="2"/>
  <c r="T93" i="2"/>
  <c r="U93" i="2" s="1"/>
  <c r="X92" i="2"/>
  <c r="T92" i="2"/>
  <c r="V92" i="2" s="1"/>
  <c r="W92" i="2" s="1"/>
  <c r="X91" i="2"/>
  <c r="T91" i="2"/>
  <c r="V91" i="2" s="1"/>
  <c r="X90" i="2"/>
  <c r="T90" i="2"/>
  <c r="U90" i="2" s="1"/>
  <c r="X89" i="2"/>
  <c r="T89" i="2"/>
  <c r="X88" i="2"/>
  <c r="T88" i="2"/>
  <c r="U88" i="2" s="1"/>
  <c r="X87" i="2"/>
  <c r="T87" i="2"/>
  <c r="U87" i="2" s="1"/>
  <c r="X86" i="2"/>
  <c r="V86" i="2"/>
  <c r="W86" i="2" s="1"/>
  <c r="T86" i="2"/>
  <c r="U86" i="2" s="1"/>
  <c r="X85" i="2"/>
  <c r="T85" i="2"/>
  <c r="X84" i="2"/>
  <c r="T84" i="2"/>
  <c r="U84" i="2" s="1"/>
  <c r="X83" i="2"/>
  <c r="U83" i="2"/>
  <c r="T83" i="2"/>
  <c r="X82" i="2"/>
  <c r="T82" i="2"/>
  <c r="U82" i="2" s="1"/>
  <c r="X81" i="2"/>
  <c r="T81" i="2"/>
  <c r="U81" i="2" s="1"/>
  <c r="X80" i="2"/>
  <c r="T80" i="2"/>
  <c r="U80" i="2" s="1"/>
  <c r="X79" i="2"/>
  <c r="T79" i="2"/>
  <c r="X78" i="2"/>
  <c r="T78" i="2"/>
  <c r="U78" i="2" s="1"/>
  <c r="X77" i="2"/>
  <c r="T77" i="2"/>
  <c r="U77" i="2" s="1"/>
  <c r="X76" i="2"/>
  <c r="T76" i="2"/>
  <c r="U76" i="2" s="1"/>
  <c r="X75" i="2"/>
  <c r="T75" i="2"/>
  <c r="X74" i="2"/>
  <c r="T74" i="2"/>
  <c r="U74" i="2" s="1"/>
  <c r="X73" i="2"/>
  <c r="T73" i="2"/>
  <c r="U73" i="2" s="1"/>
  <c r="X72" i="2"/>
  <c r="T72" i="2"/>
  <c r="U72" i="2" s="1"/>
  <c r="X71" i="2"/>
  <c r="T71" i="2"/>
  <c r="U71" i="2" s="1"/>
  <c r="X70" i="2"/>
  <c r="T70" i="2"/>
  <c r="U70" i="2" s="1"/>
  <c r="X69" i="2"/>
  <c r="T69" i="2"/>
  <c r="X68" i="2"/>
  <c r="T68" i="2"/>
  <c r="U68" i="2" s="1"/>
  <c r="X67" i="2"/>
  <c r="T67" i="2"/>
  <c r="U67" i="2" s="1"/>
  <c r="X66" i="2"/>
  <c r="V66" i="2"/>
  <c r="W66" i="2" s="1"/>
  <c r="T66" i="2"/>
  <c r="U66" i="2" s="1"/>
  <c r="X65" i="2"/>
  <c r="T65" i="2"/>
  <c r="X64" i="2"/>
  <c r="T64" i="2"/>
  <c r="U64" i="2" s="1"/>
  <c r="X63" i="2"/>
  <c r="U63" i="2"/>
  <c r="T63" i="2"/>
  <c r="X62" i="2"/>
  <c r="T62" i="2"/>
  <c r="U62" i="2" s="1"/>
  <c r="X61" i="2"/>
  <c r="T61" i="2"/>
  <c r="U61" i="2" s="1"/>
  <c r="X60" i="2"/>
  <c r="T60" i="2"/>
  <c r="U60" i="2" s="1"/>
  <c r="X59" i="2"/>
  <c r="T59" i="2"/>
  <c r="X58" i="2"/>
  <c r="T58" i="2"/>
  <c r="U58" i="2" s="1"/>
  <c r="X57" i="2"/>
  <c r="T57" i="2"/>
  <c r="U57" i="2" s="1"/>
  <c r="X56" i="2"/>
  <c r="T56" i="2"/>
  <c r="U56" i="2" s="1"/>
  <c r="X55" i="2"/>
  <c r="T55" i="2"/>
  <c r="X54" i="2"/>
  <c r="T54" i="2"/>
  <c r="U54" i="2" s="1"/>
  <c r="X53" i="2"/>
  <c r="T53" i="2"/>
  <c r="U53" i="2" s="1"/>
  <c r="X52" i="2"/>
  <c r="T52" i="2"/>
  <c r="U52" i="2" s="1"/>
  <c r="X51" i="2"/>
  <c r="T51" i="2"/>
  <c r="U51" i="2" s="1"/>
  <c r="X50" i="2"/>
  <c r="T50" i="2"/>
  <c r="U50" i="2" s="1"/>
  <c r="X49" i="2"/>
  <c r="T49" i="2"/>
  <c r="X48" i="2"/>
  <c r="T48" i="2"/>
  <c r="U48" i="2" s="1"/>
  <c r="X47" i="2"/>
  <c r="T47" i="2"/>
  <c r="U47" i="2" s="1"/>
  <c r="X46" i="2"/>
  <c r="V46" i="2"/>
  <c r="T46" i="2"/>
  <c r="U46" i="2" s="1"/>
  <c r="X45" i="2"/>
  <c r="T45" i="2"/>
  <c r="X44" i="2"/>
  <c r="T44" i="2"/>
  <c r="U44" i="2" s="1"/>
  <c r="X43" i="2"/>
  <c r="U43" i="2"/>
  <c r="T43" i="2"/>
  <c r="X42" i="2"/>
  <c r="T42" i="2"/>
  <c r="U42" i="2" s="1"/>
  <c r="X41" i="2"/>
  <c r="T41" i="2"/>
  <c r="U41" i="2" s="1"/>
  <c r="X40" i="2"/>
  <c r="T40" i="2"/>
  <c r="U40" i="2" s="1"/>
  <c r="X39" i="2"/>
  <c r="T39" i="2"/>
  <c r="U39" i="2" s="1"/>
  <c r="X38" i="2"/>
  <c r="T38" i="2"/>
  <c r="U38" i="2" s="1"/>
  <c r="X37" i="2"/>
  <c r="T37" i="2"/>
  <c r="U37" i="2" s="1"/>
  <c r="X36" i="2"/>
  <c r="T36" i="2"/>
  <c r="U36" i="2" s="1"/>
  <c r="X35" i="2"/>
  <c r="T35" i="2"/>
  <c r="X34" i="2"/>
  <c r="T34" i="2"/>
  <c r="U34" i="2" s="1"/>
  <c r="X33" i="2"/>
  <c r="T33" i="2"/>
  <c r="U33" i="2" s="1"/>
  <c r="X32" i="2"/>
  <c r="T32" i="2"/>
  <c r="U32" i="2" s="1"/>
  <c r="X31" i="2"/>
  <c r="T31" i="2"/>
  <c r="U31" i="2" s="1"/>
  <c r="X30" i="2"/>
  <c r="T30" i="2"/>
  <c r="U30" i="2" s="1"/>
  <c r="X29" i="2"/>
  <c r="T29" i="2"/>
  <c r="X28" i="2"/>
  <c r="T28" i="2"/>
  <c r="U28" i="2" s="1"/>
  <c r="X27" i="2"/>
  <c r="T27" i="2"/>
  <c r="U27" i="2" s="1"/>
  <c r="X26" i="2"/>
  <c r="V26" i="2"/>
  <c r="W26" i="2" s="1"/>
  <c r="T26" i="2"/>
  <c r="U26" i="2" s="1"/>
  <c r="X25" i="2"/>
  <c r="T25" i="2"/>
  <c r="X24" i="2"/>
  <c r="T24" i="2"/>
  <c r="U24" i="2" s="1"/>
  <c r="X23" i="2"/>
  <c r="U23" i="2"/>
  <c r="T23" i="2"/>
  <c r="X22" i="2"/>
  <c r="T22" i="2"/>
  <c r="U22" i="2" s="1"/>
  <c r="X21" i="2"/>
  <c r="T21" i="2"/>
  <c r="U21" i="2" s="1"/>
  <c r="X20" i="2"/>
  <c r="T20" i="2"/>
  <c r="U20" i="2" s="1"/>
  <c r="X19" i="2"/>
  <c r="T19" i="2"/>
  <c r="U19" i="2" s="1"/>
  <c r="X18" i="2"/>
  <c r="T18" i="2"/>
  <c r="U18" i="2" s="1"/>
  <c r="X17" i="2"/>
  <c r="T17" i="2"/>
  <c r="U17" i="2" s="1"/>
  <c r="X16" i="2"/>
  <c r="T16" i="2"/>
  <c r="U16" i="2" s="1"/>
  <c r="X15" i="2"/>
  <c r="T15" i="2"/>
  <c r="X14" i="2"/>
  <c r="T14" i="2"/>
  <c r="U14" i="2" s="1"/>
  <c r="X13" i="2"/>
  <c r="T13" i="2"/>
  <c r="U13" i="2" s="1"/>
  <c r="X12" i="2"/>
  <c r="T12" i="2"/>
  <c r="U12" i="2" s="1"/>
  <c r="X11" i="2"/>
  <c r="T11" i="2"/>
  <c r="U11" i="2" s="1"/>
  <c r="X10" i="2"/>
  <c r="V10" i="2"/>
  <c r="W10" i="2" s="1"/>
  <c r="T10" i="2"/>
  <c r="U10" i="2" s="1"/>
  <c r="X9" i="2"/>
  <c r="T9" i="2"/>
  <c r="X8" i="2"/>
  <c r="T8" i="2"/>
  <c r="U8" i="2" s="1"/>
  <c r="X7" i="2"/>
  <c r="T7" i="2"/>
  <c r="U7" i="2" s="1"/>
  <c r="X6" i="2"/>
  <c r="T6" i="2"/>
  <c r="U6" i="2" s="1"/>
  <c r="X5" i="2"/>
  <c r="T5" i="2"/>
  <c r="U5" i="2" s="1"/>
  <c r="X4" i="2"/>
  <c r="T4" i="2"/>
  <c r="U4" i="2" s="1"/>
  <c r="X3" i="2"/>
  <c r="U3" i="2"/>
  <c r="T3" i="2"/>
  <c r="X2" i="2"/>
  <c r="T2" i="2"/>
  <c r="V2" i="2" s="1"/>
  <c r="W2" i="2" s="1"/>
  <c r="U542" i="2" l="1"/>
  <c r="V542" i="2"/>
  <c r="W542" i="2" s="1"/>
  <c r="U540" i="2"/>
  <c r="V538" i="2"/>
  <c r="W538" i="2" s="1"/>
  <c r="U535" i="2"/>
  <c r="U532" i="2"/>
  <c r="U529" i="2"/>
  <c r="U526" i="2"/>
  <c r="V522" i="2"/>
  <c r="W522" i="2" s="1"/>
  <c r="U516" i="2"/>
  <c r="W516" i="2"/>
  <c r="V514" i="2"/>
  <c r="W514" i="2" s="1"/>
  <c r="U510" i="2"/>
  <c r="U509" i="2"/>
  <c r="W508" i="2"/>
  <c r="U498" i="2"/>
  <c r="W496" i="2"/>
  <c r="V492" i="2"/>
  <c r="W492" i="2" s="1"/>
  <c r="U490" i="2"/>
  <c r="U488" i="2"/>
  <c r="U486" i="2"/>
  <c r="U483" i="2"/>
  <c r="U481" i="2"/>
  <c r="U478" i="2"/>
  <c r="U474" i="2"/>
  <c r="U468" i="2"/>
  <c r="W462" i="2"/>
  <c r="V462" i="2"/>
  <c r="U462" i="2"/>
  <c r="U461" i="2"/>
  <c r="U458" i="2"/>
  <c r="W456" i="2"/>
  <c r="U450" i="2"/>
  <c r="U446" i="2"/>
  <c r="U443" i="2"/>
  <c r="V430" i="2"/>
  <c r="W430" i="2" s="1"/>
  <c r="W428" i="2"/>
  <c r="U428" i="2"/>
  <c r="V428" i="2"/>
  <c r="U424" i="2"/>
  <c r="U423" i="2"/>
  <c r="U421" i="2"/>
  <c r="U419" i="2"/>
  <c r="U406" i="2"/>
  <c r="U404" i="2"/>
  <c r="V403" i="2"/>
  <c r="U402" i="2"/>
  <c r="W402" i="2"/>
  <c r="U398" i="2"/>
  <c r="V394" i="2"/>
  <c r="W394" i="2" s="1"/>
  <c r="U392" i="2"/>
  <c r="U389" i="2"/>
  <c r="V386" i="2"/>
  <c r="W386" i="2" s="1"/>
  <c r="U384" i="2"/>
  <c r="U379" i="2"/>
  <c r="U378" i="2"/>
  <c r="U372" i="2"/>
  <c r="W372" i="2"/>
  <c r="V371" i="2"/>
  <c r="W371" i="2" s="1"/>
  <c r="U367" i="2"/>
  <c r="W362" i="2"/>
  <c r="W361" i="2"/>
  <c r="U360" i="2"/>
  <c r="W360" i="2"/>
  <c r="U358" i="2"/>
  <c r="W358" i="2"/>
  <c r="V351" i="2"/>
  <c r="W351" i="2"/>
  <c r="U349" i="2"/>
  <c r="W347" i="2"/>
  <c r="V343" i="2"/>
  <c r="W343" i="2" s="1"/>
  <c r="U341" i="2"/>
  <c r="U338" i="2"/>
  <c r="W338" i="2"/>
  <c r="V331" i="2"/>
  <c r="W331" i="2"/>
  <c r="W322" i="2"/>
  <c r="W321" i="2"/>
  <c r="U320" i="2"/>
  <c r="W320" i="2"/>
  <c r="U319" i="2"/>
  <c r="U312" i="2"/>
  <c r="V311" i="2"/>
  <c r="W311" i="2" s="1"/>
  <c r="U310" i="2"/>
  <c r="W310" i="2"/>
  <c r="U309" i="2"/>
  <c r="U308" i="2"/>
  <c r="W308" i="2"/>
  <c r="U300" i="2"/>
  <c r="W283" i="2"/>
  <c r="U283" i="2"/>
  <c r="U279" i="2"/>
  <c r="U271" i="2"/>
  <c r="U270" i="2"/>
  <c r="V265" i="2"/>
  <c r="U246" i="2"/>
  <c r="U236" i="2"/>
  <c r="U229" i="2"/>
  <c r="U206" i="2"/>
  <c r="U204" i="2"/>
  <c r="W536" i="2"/>
  <c r="U536" i="2"/>
  <c r="W528" i="2"/>
  <c r="U524" i="2"/>
  <c r="U521" i="2"/>
  <c r="U520" i="2"/>
  <c r="U518" i="2"/>
  <c r="V504" i="2"/>
  <c r="W504" i="2" s="1"/>
  <c r="W500" i="2"/>
  <c r="U489" i="2"/>
  <c r="U476" i="2"/>
  <c r="W476" i="2"/>
  <c r="U469" i="2"/>
  <c r="U466" i="2"/>
  <c r="V466" i="2"/>
  <c r="W466" i="2" s="1"/>
  <c r="U464" i="2"/>
  <c r="U460" i="2"/>
  <c r="W454" i="2"/>
  <c r="U454" i="2"/>
  <c r="U452" i="2"/>
  <c r="V449" i="2"/>
  <c r="W448" i="2"/>
  <c r="W442" i="2"/>
  <c r="U418" i="2"/>
  <c r="U415" i="2"/>
  <c r="W412" i="2"/>
  <c r="U410" i="2"/>
  <c r="U409" i="2"/>
  <c r="V401" i="2"/>
  <c r="W401" i="2" s="1"/>
  <c r="V399" i="2"/>
  <c r="U383" i="2"/>
  <c r="W368" i="2"/>
  <c r="U368" i="2"/>
  <c r="U352" i="2"/>
  <c r="W352" i="2"/>
  <c r="W345" i="2"/>
  <c r="W342" i="2"/>
  <c r="U340" i="2"/>
  <c r="W332" i="2"/>
  <c r="U332" i="2"/>
  <c r="U327" i="2"/>
  <c r="U318" i="2"/>
  <c r="U307" i="2"/>
  <c r="V307" i="2"/>
  <c r="W307" i="2" s="1"/>
  <c r="U305" i="2"/>
  <c r="W305" i="2"/>
  <c r="W302" i="2"/>
  <c r="V301" i="2"/>
  <c r="W301" i="2" s="1"/>
  <c r="U298" i="2"/>
  <c r="W298" i="2"/>
  <c r="V291" i="2"/>
  <c r="W291" i="2" s="1"/>
  <c r="U289" i="2"/>
  <c r="U287" i="2"/>
  <c r="V287" i="2"/>
  <c r="W287" i="2" s="1"/>
  <c r="U285" i="2"/>
  <c r="V281" i="2"/>
  <c r="U266" i="2"/>
  <c r="U251" i="2"/>
  <c r="U231" i="2"/>
  <c r="U226" i="2"/>
  <c r="U224" i="2"/>
  <c r="U220" i="2"/>
  <c r="V201" i="2"/>
  <c r="U196" i="2"/>
  <c r="V6" i="2"/>
  <c r="W6" i="2" s="1"/>
  <c r="V173" i="2"/>
  <c r="W173" i="2" s="1"/>
  <c r="W172" i="2"/>
  <c r="V170" i="2"/>
  <c r="W170" i="2" s="1"/>
  <c r="U168" i="2"/>
  <c r="V164" i="2"/>
  <c r="W164" i="2" s="1"/>
  <c r="U162" i="2"/>
  <c r="V159" i="2"/>
  <c r="W159" i="2" s="1"/>
  <c r="U152" i="2"/>
  <c r="V150" i="2"/>
  <c r="W150" i="2" s="1"/>
  <c r="U148" i="2"/>
  <c r="V144" i="2"/>
  <c r="W144" i="2" s="1"/>
  <c r="U142" i="2"/>
  <c r="V139" i="2"/>
  <c r="W139" i="2" s="1"/>
  <c r="W133" i="2"/>
  <c r="W132" i="2"/>
  <c r="U132" i="2"/>
  <c r="V128" i="2"/>
  <c r="W128" i="2" s="1"/>
  <c r="V124" i="2"/>
  <c r="W124" i="2" s="1"/>
  <c r="V123" i="2"/>
  <c r="V119" i="2"/>
  <c r="W119" i="2" s="1"/>
  <c r="W112" i="2"/>
  <c r="U112" i="2"/>
  <c r="V110" i="2"/>
  <c r="W110" i="2" s="1"/>
  <c r="V108" i="2"/>
  <c r="W108" i="2" s="1"/>
  <c r="V103" i="2"/>
  <c r="V102" i="2"/>
  <c r="W102" i="2" s="1"/>
  <c r="V99" i="2"/>
  <c r="W99" i="2" s="1"/>
  <c r="V93" i="2"/>
  <c r="W93" i="2" s="1"/>
  <c r="U92" i="2"/>
  <c r="V90" i="2"/>
  <c r="W90" i="2" s="1"/>
  <c r="V88" i="2"/>
  <c r="W88" i="2" s="1"/>
  <c r="V84" i="2"/>
  <c r="W84" i="2" s="1"/>
  <c r="V82" i="2"/>
  <c r="W82" i="2" s="1"/>
  <c r="V80" i="2"/>
  <c r="W80" i="2" s="1"/>
  <c r="V78" i="2"/>
  <c r="W78" i="2" s="1"/>
  <c r="V76" i="2"/>
  <c r="W76" i="2" s="1"/>
  <c r="V74" i="2"/>
  <c r="W74" i="2" s="1"/>
  <c r="V72" i="2"/>
  <c r="W72" i="2" s="1"/>
  <c r="V70" i="2"/>
  <c r="W70" i="2" s="1"/>
  <c r="V68" i="2"/>
  <c r="W68" i="2" s="1"/>
  <c r="V64" i="2"/>
  <c r="W64" i="2" s="1"/>
  <c r="V62" i="2"/>
  <c r="W62" i="2" s="1"/>
  <c r="V60" i="2"/>
  <c r="W60" i="2" s="1"/>
  <c r="V58" i="2"/>
  <c r="W58" i="2" s="1"/>
  <c r="V56" i="2"/>
  <c r="W56" i="2" s="1"/>
  <c r="V54" i="2"/>
  <c r="W54" i="2" s="1"/>
  <c r="V52" i="2"/>
  <c r="W52" i="2" s="1"/>
  <c r="V50" i="2"/>
  <c r="W50" i="2" s="1"/>
  <c r="V48" i="2"/>
  <c r="W48" i="2" s="1"/>
  <c r="W46" i="2"/>
  <c r="V44" i="2"/>
  <c r="W44" i="2" s="1"/>
  <c r="V42" i="2"/>
  <c r="W42" i="2" s="1"/>
  <c r="V40" i="2"/>
  <c r="W40" i="2" s="1"/>
  <c r="V38" i="2"/>
  <c r="W38" i="2" s="1"/>
  <c r="V36" i="2"/>
  <c r="W36" i="2" s="1"/>
  <c r="V34" i="2"/>
  <c r="W34" i="2" s="1"/>
  <c r="V32" i="2"/>
  <c r="W32" i="2" s="1"/>
  <c r="V30" i="2"/>
  <c r="W30" i="2" s="1"/>
  <c r="V28" i="2"/>
  <c r="W28" i="2" s="1"/>
  <c r="V24" i="2"/>
  <c r="W24" i="2" s="1"/>
  <c r="V22" i="2"/>
  <c r="W22" i="2" s="1"/>
  <c r="V20" i="2"/>
  <c r="W20" i="2" s="1"/>
  <c r="V18" i="2"/>
  <c r="W18" i="2" s="1"/>
  <c r="V16" i="2"/>
  <c r="W16" i="2" s="1"/>
  <c r="V14" i="2"/>
  <c r="W14" i="2" s="1"/>
  <c r="V12" i="2"/>
  <c r="W12" i="2" s="1"/>
  <c r="V8" i="2"/>
  <c r="W8" i="2" s="1"/>
  <c r="V4" i="2"/>
  <c r="W4" i="2" s="1"/>
  <c r="U297" i="2"/>
  <c r="U274" i="2"/>
  <c r="U261" i="2"/>
  <c r="U221" i="2"/>
  <c r="U216" i="2"/>
  <c r="U211" i="2"/>
  <c r="V191" i="2"/>
  <c r="V182" i="2"/>
  <c r="W182" i="2" s="1"/>
  <c r="V163" i="2"/>
  <c r="U122" i="2"/>
  <c r="U117" i="2"/>
  <c r="V117" i="2"/>
  <c r="W117" i="2" s="1"/>
  <c r="U217" i="2"/>
  <c r="V217" i="2"/>
  <c r="W217" i="2" s="1"/>
  <c r="V244" i="2"/>
  <c r="W244" i="2" s="1"/>
  <c r="U244" i="2"/>
  <c r="V160" i="2"/>
  <c r="W160" i="2" s="1"/>
  <c r="V11" i="2"/>
  <c r="W11" i="2"/>
  <c r="V21" i="2"/>
  <c r="W21" i="2" s="1"/>
  <c r="V31" i="2"/>
  <c r="W31" i="2" s="1"/>
  <c r="V41" i="2"/>
  <c r="W41" i="2" s="1"/>
  <c r="V51" i="2"/>
  <c r="W51" i="2" s="1"/>
  <c r="V61" i="2"/>
  <c r="W61" i="2" s="1"/>
  <c r="V71" i="2"/>
  <c r="W71" i="2" s="1"/>
  <c r="V81" i="2"/>
  <c r="W81" i="2" s="1"/>
  <c r="U91" i="2"/>
  <c r="W91" i="2"/>
  <c r="V98" i="2"/>
  <c r="W98" i="2" s="1"/>
  <c r="U98" i="2"/>
  <c r="U160" i="2"/>
  <c r="V209" i="2"/>
  <c r="W209" i="2" s="1"/>
  <c r="U209" i="2"/>
  <c r="V223" i="2"/>
  <c r="W223" i="2" s="1"/>
  <c r="U223" i="2"/>
  <c r="U120" i="2"/>
  <c r="V120" i="2"/>
  <c r="W120" i="2" s="1"/>
  <c r="V195" i="2"/>
  <c r="W195" i="2" s="1"/>
  <c r="U195" i="2"/>
  <c r="V45" i="2"/>
  <c r="W45" i="2" s="1"/>
  <c r="V55" i="2"/>
  <c r="W55" i="2" s="1"/>
  <c r="V65" i="2"/>
  <c r="W65" i="2" s="1"/>
  <c r="V75" i="2"/>
  <c r="W75" i="2" s="1"/>
  <c r="V85" i="2"/>
  <c r="W85" i="2" s="1"/>
  <c r="U131" i="2"/>
  <c r="V131" i="2"/>
  <c r="W131" i="2" s="1"/>
  <c r="V146" i="2"/>
  <c r="W146" i="2" s="1"/>
  <c r="U146" i="2"/>
  <c r="U157" i="2"/>
  <c r="V157" i="2"/>
  <c r="W157" i="2" s="1"/>
  <c r="U184" i="2"/>
  <c r="V184" i="2"/>
  <c r="W184" i="2" s="1"/>
  <c r="V235" i="2"/>
  <c r="W235" i="2" s="1"/>
  <c r="U235" i="2"/>
  <c r="V15" i="2"/>
  <c r="W15" i="2" s="1"/>
  <c r="V59" i="2"/>
  <c r="W59" i="2" s="1"/>
  <c r="U15" i="2"/>
  <c r="U55" i="2"/>
  <c r="U65" i="2"/>
  <c r="U75" i="2"/>
  <c r="U85" i="2"/>
  <c r="V9" i="2"/>
  <c r="W9" i="2" s="1"/>
  <c r="V29" i="2"/>
  <c r="W29" i="2" s="1"/>
  <c r="V69" i="2"/>
  <c r="W69" i="2"/>
  <c r="V79" i="2"/>
  <c r="W79" i="2"/>
  <c r="V89" i="2"/>
  <c r="W89" i="2" s="1"/>
  <c r="V106" i="2"/>
  <c r="W106" i="2" s="1"/>
  <c r="U106" i="2"/>
  <c r="U9" i="2"/>
  <c r="U29" i="2"/>
  <c r="U59" i="2"/>
  <c r="U69" i="2"/>
  <c r="U79" i="2"/>
  <c r="U89" i="2"/>
  <c r="W140" i="2"/>
  <c r="V140" i="2"/>
  <c r="U140" i="2"/>
  <c r="U177" i="2"/>
  <c r="V177" i="2"/>
  <c r="W177" i="2" s="1"/>
  <c r="U192" i="2"/>
  <c r="V192" i="2"/>
  <c r="W192" i="2" s="1"/>
  <c r="V3" i="2"/>
  <c r="W3" i="2" s="1"/>
  <c r="V13" i="2"/>
  <c r="W13" i="2" s="1"/>
  <c r="V23" i="2"/>
  <c r="W23" i="2" s="1"/>
  <c r="W33" i="2"/>
  <c r="V33" i="2"/>
  <c r="V43" i="2"/>
  <c r="W43" i="2" s="1"/>
  <c r="V53" i="2"/>
  <c r="W53" i="2" s="1"/>
  <c r="V63" i="2"/>
  <c r="W63" i="2" s="1"/>
  <c r="V73" i="2"/>
  <c r="W73" i="2" s="1"/>
  <c r="V83" i="2"/>
  <c r="W83" i="2" s="1"/>
  <c r="U151" i="2"/>
  <c r="V151" i="2"/>
  <c r="W151" i="2" s="1"/>
  <c r="V5" i="2"/>
  <c r="W5" i="2" s="1"/>
  <c r="V25" i="2"/>
  <c r="W25" i="2" s="1"/>
  <c r="V49" i="2"/>
  <c r="W49" i="2" s="1"/>
  <c r="U49" i="2"/>
  <c r="V100" i="2"/>
  <c r="W100" i="2" s="1"/>
  <c r="V166" i="2"/>
  <c r="W166" i="2" s="1"/>
  <c r="U166" i="2"/>
  <c r="V35" i="2"/>
  <c r="W35" i="2" s="1"/>
  <c r="U25" i="2"/>
  <c r="U35" i="2"/>
  <c r="U45" i="2"/>
  <c r="W19" i="2"/>
  <c r="V19" i="2"/>
  <c r="V39" i="2"/>
  <c r="W39" i="2" s="1"/>
  <c r="V7" i="2"/>
  <c r="W7" i="2" s="1"/>
  <c r="V17" i="2"/>
  <c r="W17" i="2" s="1"/>
  <c r="V27" i="2"/>
  <c r="W27" i="2" s="1"/>
  <c r="V37" i="2"/>
  <c r="W37" i="2" s="1"/>
  <c r="V47" i="2"/>
  <c r="W47" i="2" s="1"/>
  <c r="V57" i="2"/>
  <c r="W57" i="2" s="1"/>
  <c r="V67" i="2"/>
  <c r="W67" i="2" s="1"/>
  <c r="W77" i="2"/>
  <c r="V77" i="2"/>
  <c r="V87" i="2"/>
  <c r="W87" i="2" s="1"/>
  <c r="U97" i="2"/>
  <c r="V97" i="2"/>
  <c r="W97" i="2" s="1"/>
  <c r="U111" i="2"/>
  <c r="V111" i="2"/>
  <c r="W111" i="2" s="1"/>
  <c r="V126" i="2"/>
  <c r="W126" i="2" s="1"/>
  <c r="U126" i="2"/>
  <c r="U137" i="2"/>
  <c r="V137" i="2"/>
  <c r="W137" i="2" s="1"/>
  <c r="U267" i="2"/>
  <c r="V267" i="2"/>
  <c r="W267" i="2" s="1"/>
  <c r="V273" i="2"/>
  <c r="W273" i="2" s="1"/>
  <c r="U273" i="2"/>
  <c r="V290" i="2"/>
  <c r="W290" i="2" s="1"/>
  <c r="U303" i="2"/>
  <c r="V303" i="2"/>
  <c r="W303" i="2" s="1"/>
  <c r="V336" i="2"/>
  <c r="W336" i="2"/>
  <c r="V395" i="2"/>
  <c r="W395" i="2" s="1"/>
  <c r="U395" i="2"/>
  <c r="V407" i="2"/>
  <c r="W407" i="2" s="1"/>
  <c r="U407" i="2"/>
  <c r="V425" i="2"/>
  <c r="W425" i="2" s="1"/>
  <c r="U425" i="2"/>
  <c r="V198" i="2"/>
  <c r="W198" i="2" s="1"/>
  <c r="U232" i="2"/>
  <c r="V238" i="2"/>
  <c r="W238" i="2" s="1"/>
  <c r="U238" i="2"/>
  <c r="W250" i="2"/>
  <c r="W259" i="2"/>
  <c r="U282" i="2"/>
  <c r="U290" i="2"/>
  <c r="V330" i="2"/>
  <c r="W330" i="2" s="1"/>
  <c r="U336" i="2"/>
  <c r="U350" i="2"/>
  <c r="U363" i="2"/>
  <c r="B12" i="3"/>
  <c r="V95" i="2"/>
  <c r="W95" i="2" s="1"/>
  <c r="V115" i="2"/>
  <c r="W115" i="2" s="1"/>
  <c r="V135" i="2"/>
  <c r="W135" i="2" s="1"/>
  <c r="V155" i="2"/>
  <c r="W155" i="2" s="1"/>
  <c r="V175" i="2"/>
  <c r="W175" i="2" s="1"/>
  <c r="W187" i="2"/>
  <c r="U187" i="2"/>
  <c r="W190" i="2"/>
  <c r="U198" i="2"/>
  <c r="W204" i="2"/>
  <c r="W212" i="2"/>
  <c r="U212" i="2"/>
  <c r="W215" i="2"/>
  <c r="W224" i="2"/>
  <c r="V232" i="2"/>
  <c r="W232" i="2" s="1"/>
  <c r="W247" i="2"/>
  <c r="U247" i="2"/>
  <c r="U250" i="2"/>
  <c r="V253" i="2"/>
  <c r="W253" i="2" s="1"/>
  <c r="U253" i="2"/>
  <c r="U259" i="2"/>
  <c r="W265" i="2"/>
  <c r="W274" i="2"/>
  <c r="V282" i="2"/>
  <c r="W282" i="2" s="1"/>
  <c r="W285" i="2"/>
  <c r="U330" i="2"/>
  <c r="V339" i="2"/>
  <c r="W339" i="2" s="1"/>
  <c r="U345" i="2"/>
  <c r="V348" i="2"/>
  <c r="W348" i="2" s="1"/>
  <c r="W350" i="2"/>
  <c r="V353" i="2"/>
  <c r="W353" i="2" s="1"/>
  <c r="U353" i="2"/>
  <c r="V363" i="2"/>
  <c r="W363" i="2" s="1"/>
  <c r="V396" i="2"/>
  <c r="W396" i="2" s="1"/>
  <c r="U396" i="2"/>
  <c r="V408" i="2"/>
  <c r="W408" i="2" s="1"/>
  <c r="U408" i="2"/>
  <c r="W411" i="2"/>
  <c r="U411" i="2"/>
  <c r="W417" i="2"/>
  <c r="U417" i="2"/>
  <c r="V459" i="2"/>
  <c r="W459" i="2" s="1"/>
  <c r="V193" i="2"/>
  <c r="W193" i="2" s="1"/>
  <c r="V218" i="2"/>
  <c r="W218" i="2" s="1"/>
  <c r="U218" i="2"/>
  <c r="W239" i="2"/>
  <c r="U262" i="2"/>
  <c r="V268" i="2"/>
  <c r="W268" i="2" s="1"/>
  <c r="U268" i="2"/>
  <c r="V304" i="2"/>
  <c r="W304" i="2" s="1"/>
  <c r="U304" i="2"/>
  <c r="V325" i="2"/>
  <c r="W325" i="2" s="1"/>
  <c r="V328" i="2"/>
  <c r="U328" i="2"/>
  <c r="V405" i="2"/>
  <c r="W405" i="2" s="1"/>
  <c r="U405" i="2"/>
  <c r="V414" i="2"/>
  <c r="W414" i="2" s="1"/>
  <c r="U414" i="2"/>
  <c r="U420" i="2"/>
  <c r="V420" i="2"/>
  <c r="W420" i="2" s="1"/>
  <c r="V445" i="2"/>
  <c r="W445" i="2" s="1"/>
  <c r="U445" i="2"/>
  <c r="W450" i="2"/>
  <c r="V171" i="2"/>
  <c r="U180" i="2"/>
  <c r="U193" i="2"/>
  <c r="U207" i="2"/>
  <c r="W210" i="2"/>
  <c r="U227" i="2"/>
  <c r="U230" i="2"/>
  <c r="V233" i="2"/>
  <c r="W233" i="2" s="1"/>
  <c r="U233" i="2"/>
  <c r="U239" i="2"/>
  <c r="V262" i="2"/>
  <c r="W262" i="2" s="1"/>
  <c r="U277" i="2"/>
  <c r="U280" i="2"/>
  <c r="V288" i="2"/>
  <c r="W288" i="2"/>
  <c r="U288" i="2"/>
  <c r="U325" i="2"/>
  <c r="W328" i="2"/>
  <c r="V334" i="2"/>
  <c r="W334" i="2" s="1"/>
  <c r="U334" i="2"/>
  <c r="U337" i="2"/>
  <c r="V364" i="2"/>
  <c r="W364" i="2" s="1"/>
  <c r="U364" i="2"/>
  <c r="V397" i="2"/>
  <c r="W397" i="2" s="1"/>
  <c r="V427" i="2"/>
  <c r="W427" i="2" s="1"/>
  <c r="V487" i="2"/>
  <c r="W487" i="2" s="1"/>
  <c r="U487" i="2"/>
  <c r="U199" i="2"/>
  <c r="V337" i="2"/>
  <c r="W337" i="2" s="1"/>
  <c r="V439" i="2"/>
  <c r="W439" i="2" s="1"/>
  <c r="U439" i="2"/>
  <c r="U451" i="2"/>
  <c r="V451" i="2"/>
  <c r="W451" i="2" s="1"/>
  <c r="V507" i="2"/>
  <c r="W507" i="2" s="1"/>
  <c r="U507" i="2"/>
  <c r="U176" i="2"/>
  <c r="V129" i="2"/>
  <c r="W129" i="2" s="1"/>
  <c r="V169" i="2"/>
  <c r="V188" i="2"/>
  <c r="W188" i="2" s="1"/>
  <c r="U210" i="2"/>
  <c r="V213" i="2"/>
  <c r="W213" i="2" s="1"/>
  <c r="W219" i="2"/>
  <c r="V239" i="2"/>
  <c r="V317" i="2"/>
  <c r="W317" i="2" s="1"/>
  <c r="U96" i="2"/>
  <c r="V107" i="2"/>
  <c r="W107" i="2" s="1"/>
  <c r="U116" i="2"/>
  <c r="V118" i="2"/>
  <c r="V127" i="2"/>
  <c r="W127" i="2" s="1"/>
  <c r="U136" i="2"/>
  <c r="W180" i="2"/>
  <c r="U188" i="2"/>
  <c r="V245" i="2"/>
  <c r="W245" i="2" s="1"/>
  <c r="V254" i="2"/>
  <c r="W254" i="2" s="1"/>
  <c r="V263" i="2"/>
  <c r="W263" i="2" s="1"/>
  <c r="U263" i="2"/>
  <c r="U317" i="2"/>
  <c r="V326" i="2"/>
  <c r="W326" i="2" s="1"/>
  <c r="V355" i="2"/>
  <c r="W355" i="2" s="1"/>
  <c r="V374" i="2"/>
  <c r="U374" i="2"/>
  <c r="V377" i="2"/>
  <c r="W377" i="2" s="1"/>
  <c r="U380" i="2"/>
  <c r="V380" i="2"/>
  <c r="W380" i="2" s="1"/>
  <c r="V390" i="2"/>
  <c r="W390" i="2" s="1"/>
  <c r="U390" i="2"/>
  <c r="V436" i="2"/>
  <c r="W436" i="2" s="1"/>
  <c r="U436" i="2"/>
  <c r="V465" i="2"/>
  <c r="W465" i="2" s="1"/>
  <c r="U465" i="2"/>
  <c r="U94" i="2"/>
  <c r="V96" i="2"/>
  <c r="W96" i="2" s="1"/>
  <c r="V105" i="2"/>
  <c r="W105" i="2" s="1"/>
  <c r="U114" i="2"/>
  <c r="V116" i="2"/>
  <c r="W116" i="2" s="1"/>
  <c r="W118" i="2"/>
  <c r="V125" i="2"/>
  <c r="W125" i="2" s="1"/>
  <c r="U134" i="2"/>
  <c r="V136" i="2"/>
  <c r="W136" i="2" s="1"/>
  <c r="W138" i="2"/>
  <c r="V145" i="2"/>
  <c r="U154" i="2"/>
  <c r="V156" i="2"/>
  <c r="W156" i="2" s="1"/>
  <c r="W158" i="2"/>
  <c r="V165" i="2"/>
  <c r="U174" i="2"/>
  <c r="V176" i="2"/>
  <c r="W176" i="2" s="1"/>
  <c r="W178" i="2"/>
  <c r="V183" i="2"/>
  <c r="W183" i="2" s="1"/>
  <c r="U194" i="2"/>
  <c r="U205" i="2"/>
  <c r="V208" i="2"/>
  <c r="W208" i="2" s="1"/>
  <c r="V219" i="2"/>
  <c r="U222" i="2"/>
  <c r="U225" i="2"/>
  <c r="V228" i="2"/>
  <c r="W228" i="2" s="1"/>
  <c r="U228" i="2"/>
  <c r="U234" i="2"/>
  <c r="U272" i="2"/>
  <c r="U275" i="2"/>
  <c r="V278" i="2"/>
  <c r="W278" i="2" s="1"/>
  <c r="U278" i="2"/>
  <c r="V314" i="2"/>
  <c r="U314" i="2"/>
  <c r="W314" i="2"/>
  <c r="U326" i="2"/>
  <c r="U355" i="2"/>
  <c r="W374" i="2"/>
  <c r="V387" i="2"/>
  <c r="W387" i="2" s="1"/>
  <c r="U440" i="2"/>
  <c r="U471" i="2"/>
  <c r="V471" i="2"/>
  <c r="W471" i="2" s="1"/>
  <c r="U158" i="2"/>
  <c r="U178" i="2"/>
  <c r="V185" i="2"/>
  <c r="V227" i="2"/>
  <c r="W227" i="2" s="1"/>
  <c r="W242" i="2"/>
  <c r="U242" i="2"/>
  <c r="U245" i="2"/>
  <c r="V248" i="2"/>
  <c r="W248" i="2" s="1"/>
  <c r="U248" i="2"/>
  <c r="U254" i="2"/>
  <c r="W260" i="2"/>
  <c r="W269" i="2"/>
  <c r="V280" i="2"/>
  <c r="W280" i="2" s="1"/>
  <c r="V313" i="2"/>
  <c r="W313" i="2" s="1"/>
  <c r="U313" i="2"/>
  <c r="W169" i="2"/>
  <c r="V199" i="2"/>
  <c r="W199" i="2" s="1"/>
  <c r="W257" i="2"/>
  <c r="U257" i="2"/>
  <c r="V295" i="2"/>
  <c r="W295" i="2" s="1"/>
  <c r="U295" i="2"/>
  <c r="B9" i="3"/>
  <c r="B6" i="3"/>
  <c r="B5" i="3"/>
  <c r="B8" i="3"/>
  <c r="B7" i="3"/>
  <c r="V114" i="2"/>
  <c r="W114" i="2" s="1"/>
  <c r="V134" i="2"/>
  <c r="W134" i="2" s="1"/>
  <c r="W145" i="2"/>
  <c r="V154" i="2"/>
  <c r="W154" i="2" s="1"/>
  <c r="V174" i="2"/>
  <c r="W174" i="2" s="1"/>
  <c r="W189" i="2"/>
  <c r="W197" i="2"/>
  <c r="U197" i="2"/>
  <c r="W200" i="2"/>
  <c r="W214" i="2"/>
  <c r="V222" i="2"/>
  <c r="W222" i="2" s="1"/>
  <c r="V234" i="2"/>
  <c r="W234" i="2" s="1"/>
  <c r="U237" i="2"/>
  <c r="U240" i="2"/>
  <c r="V243" i="2"/>
  <c r="W243" i="2" s="1"/>
  <c r="U243" i="2"/>
  <c r="U249" i="2"/>
  <c r="W255" i="2"/>
  <c r="W264" i="2"/>
  <c r="V272" i="2"/>
  <c r="W272" i="2" s="1"/>
  <c r="V275" i="2"/>
  <c r="W275" i="2" s="1"/>
  <c r="W284" i="2"/>
  <c r="V296" i="2"/>
  <c r="W296" i="2"/>
  <c r="U323" i="2"/>
  <c r="W323" i="2"/>
  <c r="V359" i="2"/>
  <c r="W359" i="2" s="1"/>
  <c r="V366" i="2"/>
  <c r="W366" i="2"/>
  <c r="V381" i="2"/>
  <c r="W381" i="2" s="1"/>
  <c r="U387" i="2"/>
  <c r="V433" i="2"/>
  <c r="W433" i="2" s="1"/>
  <c r="V440" i="2"/>
  <c r="W440" i="2" s="1"/>
  <c r="V109" i="2"/>
  <c r="W109" i="2" s="1"/>
  <c r="U138" i="2"/>
  <c r="V149" i="2"/>
  <c r="W149" i="2" s="1"/>
  <c r="W171" i="2"/>
  <c r="V207" i="2"/>
  <c r="W207" i="2" s="1"/>
  <c r="V230" i="2"/>
  <c r="W230" i="2" s="1"/>
  <c r="V277" i="2"/>
  <c r="W277" i="2" s="1"/>
  <c r="V147" i="2"/>
  <c r="W147" i="2" s="1"/>
  <c r="V167" i="2"/>
  <c r="W167" i="2" s="1"/>
  <c r="W185" i="2"/>
  <c r="W194" i="2"/>
  <c r="W202" i="2"/>
  <c r="U202" i="2"/>
  <c r="W205" i="2"/>
  <c r="V210" i="2"/>
  <c r="U213" i="2"/>
  <c r="U219" i="2"/>
  <c r="W225" i="2"/>
  <c r="U260" i="2"/>
  <c r="U269" i="2"/>
  <c r="V94" i="2"/>
  <c r="W94" i="2" s="1"/>
  <c r="W165" i="2"/>
  <c r="U2" i="2"/>
  <c r="V101" i="2"/>
  <c r="W101" i="2" s="1"/>
  <c r="W103" i="2"/>
  <c r="V121" i="2"/>
  <c r="W121" i="2" s="1"/>
  <c r="W123" i="2"/>
  <c r="V141" i="2"/>
  <c r="W141" i="2" s="1"/>
  <c r="W143" i="2"/>
  <c r="V161" i="2"/>
  <c r="W161" i="2" s="1"/>
  <c r="W163" i="2"/>
  <c r="V181" i="2"/>
  <c r="W181" i="2" s="1"/>
  <c r="V186" i="2"/>
  <c r="W186" i="2" s="1"/>
  <c r="U189" i="2"/>
  <c r="V197" i="2"/>
  <c r="U200" i="2"/>
  <c r="V203" i="2"/>
  <c r="W203" i="2" s="1"/>
  <c r="U214" i="2"/>
  <c r="W220" i="2"/>
  <c r="W229" i="2"/>
  <c r="V237" i="2"/>
  <c r="W237" i="2" s="1"/>
  <c r="V240" i="2"/>
  <c r="W240" i="2" s="1"/>
  <c r="V249" i="2"/>
  <c r="W249" i="2" s="1"/>
  <c r="W252" i="2"/>
  <c r="U252" i="2"/>
  <c r="U255" i="2"/>
  <c r="V258" i="2"/>
  <c r="W258" i="2" s="1"/>
  <c r="U258" i="2"/>
  <c r="U264" i="2"/>
  <c r="W270" i="2"/>
  <c r="W279" i="2"/>
  <c r="U284" i="2"/>
  <c r="U296" i="2"/>
  <c r="V299" i="2"/>
  <c r="W299" i="2" s="1"/>
  <c r="U299" i="2"/>
  <c r="V306" i="2"/>
  <c r="W306" i="2" s="1"/>
  <c r="U306" i="2"/>
  <c r="W315" i="2"/>
  <c r="V315" i="2"/>
  <c r="V323" i="2"/>
  <c r="V344" i="2"/>
  <c r="W344" i="2"/>
  <c r="U344" i="2"/>
  <c r="V356" i="2"/>
  <c r="W356" i="2" s="1"/>
  <c r="U359" i="2"/>
  <c r="U366" i="2"/>
  <c r="V375" i="2"/>
  <c r="W375" i="2" s="1"/>
  <c r="U381" i="2"/>
  <c r="W398" i="2"/>
  <c r="V422" i="2"/>
  <c r="W422" i="2" s="1"/>
  <c r="U422" i="2"/>
  <c r="U433" i="2"/>
  <c r="V333" i="2"/>
  <c r="W333" i="2" s="1"/>
  <c r="U333" i="2"/>
  <c r="W531" i="2"/>
  <c r="U531" i="2"/>
  <c r="V293" i="2"/>
  <c r="W293" i="2" s="1"/>
  <c r="U293" i="2"/>
  <c r="V376" i="2"/>
  <c r="W376" i="2" s="1"/>
  <c r="U391" i="2"/>
  <c r="V391" i="2"/>
  <c r="W391" i="2" s="1"/>
  <c r="U400" i="2"/>
  <c r="V400" i="2"/>
  <c r="W400" i="2" s="1"/>
  <c r="V426" i="2"/>
  <c r="W426" i="2" s="1"/>
  <c r="V455" i="2"/>
  <c r="W455" i="2" s="1"/>
  <c r="W191" i="2"/>
  <c r="W196" i="2"/>
  <c r="W201" i="2"/>
  <c r="W206" i="2"/>
  <c r="W211" i="2"/>
  <c r="W216" i="2"/>
  <c r="W221" i="2"/>
  <c r="W226" i="2"/>
  <c r="W231" i="2"/>
  <c r="W236" i="2"/>
  <c r="W241" i="2"/>
  <c r="W246" i="2"/>
  <c r="W251" i="2"/>
  <c r="W256" i="2"/>
  <c r="W261" i="2"/>
  <c r="W266" i="2"/>
  <c r="W271" i="2"/>
  <c r="W276" i="2"/>
  <c r="W281" i="2"/>
  <c r="W286" i="2"/>
  <c r="W297" i="2"/>
  <c r="V316" i="2"/>
  <c r="W316" i="2" s="1"/>
  <c r="W327" i="2"/>
  <c r="V335" i="2"/>
  <c r="W335" i="2" s="1"/>
  <c r="V346" i="2"/>
  <c r="W346" i="2"/>
  <c r="V354" i="2"/>
  <c r="W354" i="2" s="1"/>
  <c r="U354" i="2"/>
  <c r="U357" i="2"/>
  <c r="U365" i="2"/>
  <c r="U370" i="2"/>
  <c r="U376" i="2"/>
  <c r="U382" i="2"/>
  <c r="W415" i="2"/>
  <c r="U426" i="2"/>
  <c r="V444" i="2"/>
  <c r="W444" i="2" s="1"/>
  <c r="U444" i="2"/>
  <c r="U455" i="2"/>
  <c r="V294" i="2"/>
  <c r="W294" i="2" s="1"/>
  <c r="U294" i="2"/>
  <c r="V324" i="2"/>
  <c r="W324" i="2" s="1"/>
  <c r="U324" i="2"/>
  <c r="V357" i="2"/>
  <c r="W357" i="2" s="1"/>
  <c r="W365" i="2"/>
  <c r="W370" i="2"/>
  <c r="V373" i="2"/>
  <c r="W373" i="2" s="1"/>
  <c r="U373" i="2"/>
  <c r="W382" i="2"/>
  <c r="U385" i="2"/>
  <c r="V385" i="2"/>
  <c r="W385" i="2" s="1"/>
  <c r="W435" i="2"/>
  <c r="U435" i="2"/>
  <c r="W379" i="2"/>
  <c r="W384" i="2"/>
  <c r="W399" i="2"/>
  <c r="W404" i="2"/>
  <c r="V453" i="2"/>
  <c r="W453" i="2" s="1"/>
  <c r="V479" i="2"/>
  <c r="W479" i="2" s="1"/>
  <c r="U479" i="2"/>
  <c r="U431" i="2"/>
  <c r="V447" i="2"/>
  <c r="W447" i="2" s="1"/>
  <c r="U491" i="2"/>
  <c r="U302" i="2"/>
  <c r="U322" i="2"/>
  <c r="U342" i="2"/>
  <c r="U362" i="2"/>
  <c r="U388" i="2"/>
  <c r="V413" i="2"/>
  <c r="W413" i="2" s="1"/>
  <c r="V416" i="2"/>
  <c r="W416" i="2" s="1"/>
  <c r="V431" i="2"/>
  <c r="W431" i="2" s="1"/>
  <c r="V434" i="2"/>
  <c r="U434" i="2"/>
  <c r="W437" i="2"/>
  <c r="U447" i="2"/>
  <c r="V457" i="2"/>
  <c r="W457" i="2" s="1"/>
  <c r="V467" i="2"/>
  <c r="W467" i="2" s="1"/>
  <c r="V491" i="2"/>
  <c r="W491" i="2" s="1"/>
  <c r="V393" i="2"/>
  <c r="W393" i="2" s="1"/>
  <c r="W419" i="2"/>
  <c r="W424" i="2"/>
  <c r="W434" i="2"/>
  <c r="U437" i="2"/>
  <c r="U442" i="2"/>
  <c r="W464" i="2"/>
  <c r="U467" i="2"/>
  <c r="W511" i="2"/>
  <c r="U511" i="2"/>
  <c r="V527" i="2"/>
  <c r="W527" i="2" s="1"/>
  <c r="U527" i="2"/>
  <c r="W383" i="2"/>
  <c r="W403" i="2"/>
  <c r="W423" i="2"/>
  <c r="W443" i="2"/>
  <c r="W463" i="2"/>
  <c r="W483" i="2"/>
  <c r="U485" i="2"/>
  <c r="W503" i="2"/>
  <c r="U505" i="2"/>
  <c r="W523" i="2"/>
  <c r="U525" i="2"/>
  <c r="W421" i="2"/>
  <c r="W441" i="2"/>
  <c r="W461" i="2"/>
  <c r="W481" i="2"/>
  <c r="V485" i="2"/>
  <c r="W485" i="2" s="1"/>
  <c r="W501" i="2"/>
  <c r="V505" i="2"/>
  <c r="W505" i="2" s="1"/>
  <c r="W521" i="2"/>
  <c r="V525" i="2"/>
  <c r="W525" i="2" s="1"/>
  <c r="U541" i="2"/>
  <c r="V543" i="2"/>
  <c r="W543" i="2" s="1"/>
  <c r="U499" i="2"/>
  <c r="W517" i="2"/>
  <c r="U519" i="2"/>
  <c r="W537" i="2"/>
  <c r="U539" i="2"/>
  <c r="V541" i="2"/>
  <c r="W541" i="2" s="1"/>
  <c r="W475" i="2"/>
  <c r="U477" i="2"/>
  <c r="W495" i="2"/>
  <c r="U497" i="2"/>
  <c r="V499" i="2"/>
  <c r="W499" i="2" s="1"/>
  <c r="W515" i="2"/>
  <c r="U517" i="2"/>
  <c r="V519" i="2"/>
  <c r="W519" i="2" s="1"/>
  <c r="W535" i="2"/>
  <c r="U537" i="2"/>
  <c r="V539" i="2"/>
  <c r="W539" i="2" s="1"/>
  <c r="U475" i="2"/>
  <c r="V477" i="2"/>
  <c r="W477" i="2" s="1"/>
  <c r="U495" i="2"/>
  <c r="V497" i="2"/>
  <c r="W497" i="2" s="1"/>
  <c r="W533" i="2"/>
  <c r="W389" i="2"/>
  <c r="W409" i="2"/>
  <c r="W429" i="2"/>
  <c r="W449" i="2"/>
  <c r="W469" i="2"/>
  <c r="V473" i="2"/>
  <c r="W473" i="2" s="1"/>
  <c r="W489" i="2"/>
  <c r="V493" i="2"/>
  <c r="W493" i="2" s="1"/>
  <c r="W509" i="2"/>
  <c r="V513" i="2"/>
  <c r="W513" i="2" s="1"/>
  <c r="W529" i="2"/>
  <c r="V533" i="2"/>
  <c r="B10" i="3" l="1"/>
</calcChain>
</file>

<file path=xl/sharedStrings.xml><?xml version="1.0" encoding="utf-8"?>
<sst xmlns="http://schemas.openxmlformats.org/spreadsheetml/2006/main" count="6094" uniqueCount="3276">
  <si>
    <t>中正大學臺灣手語線上辭典例句｜人工資料校訂表</t>
  </si>
  <si>
    <t>項目</t>
  </si>
  <si>
    <t>填寫方式</t>
  </si>
  <si>
    <t>本表筆數</t>
  </si>
  <si>
    <t>評估範圍</t>
  </si>
  <si>
    <t>中文語意，以及 Gloss 的詞彙與語序。</t>
  </si>
  <si>
    <t>主審判定</t>
  </si>
  <si>
    <t>每列只選：通過／需更正／排除／需複審。</t>
  </si>
  <si>
    <t>通過</t>
  </si>
  <si>
    <t>原始中文與原始 Gloss 可直接作為 Text→Gloss 訓練資料。</t>
  </si>
  <si>
    <t>需更正</t>
  </si>
  <si>
    <t>填問題類型、更正 Gloss 與理由；只有中文也需修改時才填更正中文。</t>
  </si>
  <si>
    <t>排除</t>
  </si>
  <si>
    <t>填問題類型與理由；該列不會進入訓練資料。</t>
  </si>
  <si>
    <t>需複審</t>
  </si>
  <si>
    <t>主審無法確定時選此項，再由第二位評估者填複審欄。</t>
  </si>
  <si>
    <t>需影片確認</t>
  </si>
  <si>
    <t>NMS、手形或動作方向不確定時選「是」；不阻擋文字層 Text→Gloss 校訂。</t>
  </si>
  <si>
    <t>可填區域</t>
  </si>
  <si>
    <t>只填黃色欄 J:S；灰色 A:I 是原始資料，藍色 T:X 由公式產生。</t>
  </si>
  <si>
    <t>姓名與日期</t>
  </si>
  <si>
    <t>本表不包含主審姓名、主審日期、複審姓名或複審日期欄位。</t>
  </si>
  <si>
    <t>判定範例</t>
  </si>
  <si>
    <t>問題類型</t>
  </si>
  <si>
    <t>更正中文</t>
  </si>
  <si>
    <t>更正Gloss</t>
  </si>
  <si>
    <t>更正理由</t>
  </si>
  <si>
    <t>無問題</t>
  </si>
  <si>
    <t>Gloss 語序需修正</t>
  </si>
  <si>
    <t>Gloss語序錯誤</t>
  </si>
  <si>
    <t>學校/我/去</t>
  </si>
  <si>
    <t>主題應前置</t>
  </si>
  <si>
    <t>資料無法使用</t>
  </si>
  <si>
    <t>中文與Gloss不對應</t>
  </si>
  <si>
    <t>無法由現有資訊修正</t>
  </si>
  <si>
    <t>穩定ID</t>
  </si>
  <si>
    <t>重複來源ID</t>
  </si>
  <si>
    <t>資料來源</t>
  </si>
  <si>
    <t>來源子類型</t>
  </si>
  <si>
    <t>原始中文</t>
  </si>
  <si>
    <t>原始Gloss</t>
  </si>
  <si>
    <t>來源說明</t>
  </si>
  <si>
    <t>影片或文獻連結</t>
  </si>
  <si>
    <t>原始資料指紋</t>
  </si>
  <si>
    <t>複審判定</t>
  </si>
  <si>
    <t>複審更正中文</t>
  </si>
  <si>
    <t>複審更正Gloss</t>
  </si>
  <si>
    <t>複審意見</t>
  </si>
  <si>
    <t>最終判定</t>
  </si>
  <si>
    <t>最終中文</t>
  </si>
  <si>
    <t>最終Gloss</t>
  </si>
  <si>
    <t>可匯入訓練</t>
  </si>
  <si>
    <t>資料檢查結果</t>
  </si>
  <si>
    <t>TWS0001</t>
  </si>
  <si>
    <t>中正大學臺灣手語線上辭典例句</t>
  </si>
  <si>
    <t>會_N</t>
  </si>
  <si>
    <t>我會游泳</t>
  </si>
  <si>
    <t>我/游泳/會</t>
  </si>
  <si>
    <t>台灣手語線上辭典（中文版第五版），蔡素娟、戴浩一、劉世凱、陳怡君 2026，國立中正大學手語語言學台灣研究中心，https://twtsl.ccu.edu.tw/</t>
  </si>
  <si>
    <t>75e26e6b53ff145dd9329b36a10a70c8c64b33ddddb5a0ace128eef1f6292497</t>
  </si>
  <si>
    <t>否</t>
  </si>
  <si>
    <t>TWS0002</t>
  </si>
  <si>
    <t>伴</t>
  </si>
  <si>
    <t>他很孤單，需要陪伴</t>
  </si>
  <si>
    <t>他/孤獨/他/要/陪伴/他</t>
  </si>
  <si>
    <t>d43146abc289fafb7a6ba6a2cc00d8a9bae2c5edaf55323de33c91d7ee592078</t>
  </si>
  <si>
    <t>TWS0003</t>
  </si>
  <si>
    <t>積怨_A</t>
  </si>
  <si>
    <t>他們兩家從以前到現在積怨很久</t>
  </si>
  <si>
    <t>房子/兩個/地方/這/這/以前/到/現在/積怨/久</t>
  </si>
  <si>
    <t>https://twtsl.ccu.edu.tw/sentence/a/S-accumulated_hatred_a.mp4</t>
  </si>
  <si>
    <t>e28a72d2b094ed5c9ae3529270e45e45d296da12078e03f75e01093230715ac1</t>
  </si>
  <si>
    <t>TWS0004</t>
  </si>
  <si>
    <t>行動</t>
  </si>
  <si>
    <t>他近來的行動怪異</t>
  </si>
  <si>
    <t>他/過去的最近/行動/奇怪</t>
  </si>
  <si>
    <t>https://twtsl.ccu.edu.tw/sentence/a/S-action.mp4</t>
  </si>
  <si>
    <t>7ba0f3e95cd4a13a0c0497de59f8f61c069f360a7d8bff4ba6ea204ddec425d7</t>
  </si>
  <si>
    <t>TWS0005</t>
  </si>
  <si>
    <t>增加</t>
  </si>
  <si>
    <t>寫作業會增加壓力</t>
  </si>
  <si>
    <t>作業/寫/壓力/加/會</t>
  </si>
  <si>
    <t>https://twtsl.ccu.edu.tw/sentence/a/S-add.mp4</t>
  </si>
  <si>
    <t>22d4f1ae0a41f46809560b9cf13faee381e6101c5666d347a4c3d6103f1acbc9</t>
  </si>
  <si>
    <t>TWS0006</t>
  </si>
  <si>
    <t>冒險_B</t>
  </si>
  <si>
    <t>人人都要有冒險無懼的精神</t>
  </si>
  <si>
    <t>每/人/你們/冒險/不怕/要/有</t>
  </si>
  <si>
    <t>https://twtsl.ccu.edu.tw/sentence/a/S-adventure_b.mp4</t>
  </si>
  <si>
    <t>19996eb9d749afa29704bae18b998af76406702f9b8f7f0df3e6325f2335ae37</t>
  </si>
  <si>
    <t>TWS0007</t>
  </si>
  <si>
    <t>事情</t>
  </si>
  <si>
    <t>我完全不知道這件事</t>
  </si>
  <si>
    <t>這/事情/我/完全/不知道</t>
  </si>
  <si>
    <t>https://twtsl.ccu.edu.tw/sentence/a/S-affairs.mp4</t>
  </si>
  <si>
    <t>9ad67679b8df7c139d4564a363223b60d5041bbf9c6fbcd056673b5f1f177d13</t>
  </si>
  <si>
    <t>TWS0008</t>
  </si>
  <si>
    <t>我家有事情要處理</t>
  </si>
  <si>
    <t>我/家/有/事情/去/負責/做</t>
  </si>
  <si>
    <t>https://twtsl.ccu.edu.tw/sentence/a/S-affairs_2.mp4</t>
  </si>
  <si>
    <t>5f4557ff06241fd216171ea9f7e61b1f3cefcfe4dd5be32504d4eb8f3320ca43</t>
  </si>
  <si>
    <t>TWS0009</t>
  </si>
  <si>
    <t>影響</t>
  </si>
  <si>
    <t>家庭對人有很大的影響</t>
  </si>
  <si>
    <t>人/家/地方/影響/大</t>
  </si>
  <si>
    <t>https://twtsl.ccu.edu.tw/sentence/a/S-affect.mp4</t>
  </si>
  <si>
    <t>c0d2d7a8fe5e6857bf86211da27800554a084666965420658bd0c089a0b8ad57</t>
  </si>
  <si>
    <t>TWS0010</t>
  </si>
  <si>
    <t>危險</t>
  </si>
  <si>
    <t>他看見蜜蜂就害怕</t>
  </si>
  <si>
    <t>蜜蜂/他/見/怕</t>
  </si>
  <si>
    <t>https://twtsl.ccu.edu.tw/sentence/a/S-afraid_n.mp4</t>
  </si>
  <si>
    <t>eb12024a49e71f6b3acb2616b1af8cd88979a2bc8aa9238a1e368554a1b6c3bf</t>
  </si>
  <si>
    <t>TWS0011</t>
  </si>
  <si>
    <t>自己去森林很危險</t>
  </si>
  <si>
    <t>自己/去/森林/危險/很</t>
  </si>
  <si>
    <t>https://twtsl.ccu.edu.tw/sentence/a/S-afraid_n_3.mp4</t>
  </si>
  <si>
    <t>324a3cc217878b028228550c5e8026d4be3402a11fac66cf07610cc1c3ece646</t>
  </si>
  <si>
    <t>TWS0012</t>
  </si>
  <si>
    <t>這麼繁重的工作，真叫我害怕</t>
  </si>
  <si>
    <t>這/工作/這些/我/怕/很</t>
  </si>
  <si>
    <t>https://twtsl.ccu.edu.tw/sentence/a/S-afraid_n_2.mp4</t>
  </si>
  <si>
    <t>b76a66807e5c2fcf9a4a69e61df4b74be2672628f77b59348a19c2e8a55a4b84</t>
  </si>
  <si>
    <t>TWS0013</t>
  </si>
  <si>
    <t>怕_S</t>
  </si>
  <si>
    <t>我和他很怕閃電</t>
  </si>
  <si>
    <t>電/我/他/怕</t>
  </si>
  <si>
    <t>https://twtsl.ccu.edu.tw/sentence/a/S-afraid_s.mp4</t>
  </si>
  <si>
    <t>7db55b7135290cbd5f1f18c326cb0b9dca569ba845cc69bf1cd5622ae21ff6bb</t>
  </si>
  <si>
    <t>TWS0014</t>
  </si>
  <si>
    <t>下午_A</t>
  </si>
  <si>
    <t>今天下午要去打籃球</t>
  </si>
  <si>
    <t>今天/下午/去/籃球</t>
  </si>
  <si>
    <t>https://twtsl.ccu.edu.tw/sentence/a/S-afternoon_b.mp4</t>
  </si>
  <si>
    <t>32038aee9a5061f0aaf52c0c44ff8a81c244655cb963aa16e40bbc141e75c1ae</t>
  </si>
  <si>
    <t>TWS0015</t>
  </si>
  <si>
    <t>再_A</t>
  </si>
  <si>
    <t>歡迎再度來到台灣</t>
  </si>
  <si>
    <t>高興/歡迎/再/來/台灣</t>
  </si>
  <si>
    <t>https://twtsl.ccu.edu.tw/sentence/a/S-again.mp4</t>
  </si>
  <si>
    <t>25694275ea4b2b80d14cf5690bfe97da7371bb06743ac7281bca3bdd20a6ccba</t>
  </si>
  <si>
    <t>TWS0016</t>
  </si>
  <si>
    <t>同意_A</t>
  </si>
  <si>
    <t>我想(同意)他一定來</t>
  </si>
  <si>
    <t>我/同意/他/來/會/一樣</t>
  </si>
  <si>
    <t>https://twtsl.ccu.edu.tw/sentence/a/S-agree_h.mp4</t>
  </si>
  <si>
    <t>9bab58ff8bf336e82938c5b3e050d3f665db96f0e3b5d0ba3a0a998df98e2c36</t>
  </si>
  <si>
    <t>TWS0017</t>
  </si>
  <si>
    <t>機場</t>
  </si>
  <si>
    <t>他到機場觀賞飛機起降</t>
  </si>
  <si>
    <t>機場/他/去/見/飛機起降</t>
  </si>
  <si>
    <t>https://twtsl.ccu.edu.tw/sentence/a/S-airport.mp4</t>
  </si>
  <si>
    <t>2c8c1ba558d5ec00855aa377fde3b31905f847592718039d81accd1d28a22151</t>
  </si>
  <si>
    <t>TWS0018</t>
  </si>
  <si>
    <t>完全</t>
  </si>
  <si>
    <t>爸爸完全不知道這件事</t>
  </si>
  <si>
    <t>這/事情/爸爸/完全/不知道</t>
  </si>
  <si>
    <t>https://twtsl.ccu.edu.tw/sentence/a/S-all.mp4</t>
  </si>
  <si>
    <t>b66c44e15fc32d9c7b878f0c170951a38d2dae63bf9ef17e84507f67cc7ecef8</t>
  </si>
  <si>
    <t>TWS0019</t>
  </si>
  <si>
    <t>他完全聽不懂我說的話</t>
  </si>
  <si>
    <t>我/說/我/演講/告訴/他/全部/一竅不通/不知道</t>
  </si>
  <si>
    <t>https://twtsl.ccu.edu.tw/sentence/a/S-all_2.mp4</t>
  </si>
  <si>
    <t>e47fef45286f4579018ec6178beab3ab417e416d94878343909e97238ba7deb8</t>
  </si>
  <si>
    <t>TWS0020</t>
  </si>
  <si>
    <t>總是</t>
  </si>
  <si>
    <t>他經常睡不著</t>
  </si>
  <si>
    <t>他/睡/做不成/老是</t>
  </si>
  <si>
    <t>https://twtsl.ccu.edu.tw/sentence/a/S-always.mp4</t>
  </si>
  <si>
    <t>f206aacc58a82c02b9840f258155dc2c96882fff8f161511e0d2ec357a27c599</t>
  </si>
  <si>
    <t>TWS0021</t>
  </si>
  <si>
    <t>我老是忘記寫功課</t>
  </si>
  <si>
    <t>讀書/寫/我/忘記/老是</t>
  </si>
  <si>
    <t>https://twtsl.ccu.edu.tw/sentence/a/S-always_2.mp4</t>
  </si>
  <si>
    <t>8623af16d375c415395593bf1d8a400477c8c0bc812f9edca0c7f709ec785d7c</t>
  </si>
  <si>
    <t>TWS0022</t>
  </si>
  <si>
    <t>火大_A</t>
  </si>
  <si>
    <t>爸爸很生氣</t>
  </si>
  <si>
    <t>爸爸/生氣/很</t>
  </si>
  <si>
    <t>https://twtsl.ccu.edu.tw/sentence/a/S-angry_a.mp4</t>
  </si>
  <si>
    <t>9b086cc84ea0f7cd3ad491280ca2cccb2731e62b016205329e4461fb4cabb4b9</t>
  </si>
  <si>
    <t>TWS0023</t>
  </si>
  <si>
    <t>宣佈</t>
  </si>
  <si>
    <t>氣象局宣布明天颱風會侵台</t>
  </si>
  <si>
    <t>天氣/地方/這/宣佈/明天/台灣/颱風/這</t>
  </si>
  <si>
    <t>https://twtsl.ccu.edu.tw/sentence/a/S-announce.mp4</t>
  </si>
  <si>
    <t>55f76c13c596e0d2fb3c17b5437d878a148ff2fd78855053df469a8a3a50f707</t>
  </si>
  <si>
    <t>TWS0024</t>
  </si>
  <si>
    <t>回答</t>
  </si>
  <si>
    <t>我剛剛已經回答了你的問題</t>
  </si>
  <si>
    <t>你/問題/我/剛剛/回答你/完了</t>
  </si>
  <si>
    <t>https://twtsl.ccu.edu.tw/sentence/a/S-answer.mp4</t>
  </si>
  <si>
    <t>b81ba1841ae99fe7edab8d6c453ef5400b04643a5a47f011d61420c50017d7ab</t>
  </si>
  <si>
    <t>TWS0025</t>
  </si>
  <si>
    <t>大廈_A</t>
  </si>
  <si>
    <t>他開車經過了許多高樓</t>
  </si>
  <si>
    <t>大樓/他/開車/經過</t>
  </si>
  <si>
    <t>https://twtsl.ccu.edu.tw/sentence/a/S-apartment_building_a.mp4</t>
  </si>
  <si>
    <t>00eed52cf4e9c4e6a9240d8d4a7576eaeb130aa88e88c8ea2058779436189484</t>
  </si>
  <si>
    <t>TWS0026</t>
  </si>
  <si>
    <t>約_B</t>
  </si>
  <si>
    <t>我們約明天下午三點見面</t>
  </si>
  <si>
    <t>我們兩個/明天/下午/三點/約/見面</t>
  </si>
  <si>
    <t>https://twtsl.ccu.edu.tw/sentence/a/S-appointment.mp4</t>
  </si>
  <si>
    <t>2c791ed08a5a6b08b36d180dde7b485817a84832e825f14af5766191b3c2e931</t>
  </si>
  <si>
    <t>TWS0027</t>
  </si>
  <si>
    <t>安排</t>
  </si>
  <si>
    <t>明天我安排了一場會議</t>
  </si>
  <si>
    <t>明天/會議/我/安排/完了</t>
  </si>
  <si>
    <t>https://twtsl.ccu.edu.tw/sentence/a/S-arrange.mp4</t>
  </si>
  <si>
    <t>4e8ab18342514a23766a497c5517e63aec87f9d7015834bb0337fc436748cdb8</t>
  </si>
  <si>
    <t>TWS0028</t>
  </si>
  <si>
    <t>媽媽昨天整理好了客廳</t>
  </si>
  <si>
    <t>媽媽/昨天/整理/客/地方/整理/結束</t>
  </si>
  <si>
    <t>https://twtsl.ccu.edu.tw/sentence/a/S-arrange_2.mp4</t>
  </si>
  <si>
    <t>a38b47379fdf391a140f5ae3a69276f6a634b493dd6bebcb9a11c81f4dbb7039</t>
  </si>
  <si>
    <t>TWS0029</t>
  </si>
  <si>
    <t>遲到_A</t>
  </si>
  <si>
    <t>我今天上班又遲到了</t>
  </si>
  <si>
    <t>今天/工作/我/遲到/又來了</t>
  </si>
  <si>
    <t>https://twtsl.ccu.edu.tw/sentence/a/S-arrive_late.mp4</t>
  </si>
  <si>
    <t>8eab0d72d59855228752fffd9cbe7ee7ce81646b9fb907515d8f2f3d22fe7500</t>
  </si>
  <si>
    <t>TWS0030</t>
  </si>
  <si>
    <t>問</t>
  </si>
  <si>
    <t>他問了我一道數學題目</t>
  </si>
  <si>
    <t>數學/題/他/問我</t>
  </si>
  <si>
    <t>https://twtsl.ccu.edu.tw/sentence/a/S-ask.mp4</t>
  </si>
  <si>
    <t>5afd80368146eb283d50776fcc61b62d777157b12f2a233419c98aa780211374</t>
  </si>
  <si>
    <t>TWS0031</t>
  </si>
  <si>
    <t>分配</t>
  </si>
  <si>
    <t>我們要分配好自己的時間，這樣做事才會有效率</t>
  </si>
  <si>
    <t>我/這些/自己/時間/分配/要/工作/事情/試試看/完成/快</t>
  </si>
  <si>
    <t>https://twtsl.ccu.edu.tw/sentence/a/S-assign.mp4</t>
  </si>
  <si>
    <t>37d35f77ad402a3946248757aa426b184d90c7ac72341ba1ce2621612a654d79</t>
  </si>
  <si>
    <t>TWS0032</t>
  </si>
  <si>
    <t>勾引</t>
  </si>
  <si>
    <t>你不要引誘他人做違法的事情</t>
  </si>
  <si>
    <t>你/不要/引誘/什麼/違法/做/事情/不</t>
  </si>
  <si>
    <t>https://twtsl.ccu.edu.tw/sentence/a/S-attract.mp4</t>
  </si>
  <si>
    <t>48d31b105d5bb9ef013fd4a44d0ee4d8fb120065ce0733b52d78c8814e8a763b</t>
  </si>
  <si>
    <t>TWS0033</t>
  </si>
  <si>
    <t>後面</t>
  </si>
  <si>
    <t>房子後面開了許多玫瑰花</t>
  </si>
  <si>
    <t>房子/後面/這/開花/玫瑰</t>
  </si>
  <si>
    <t>https://twtsl.ccu.edu.tw/sentence/b/S-back.mp4</t>
  </si>
  <si>
    <t>a1423782100075e149a3b65c6bd61f8d015f3bdcd97a118468aff4f654ee3da1</t>
  </si>
  <si>
    <t>TWS0034</t>
  </si>
  <si>
    <t>壞</t>
  </si>
  <si>
    <t>歹徒心狠手辣，非常殘忍</t>
  </si>
  <si>
    <t>這/壞/人/壞/心/殘忍/壞/很</t>
  </si>
  <si>
    <t>https://twtsl.ccu.edu.tw/sentence/b/S-bad.mp4</t>
  </si>
  <si>
    <t>bb48d13295c166fa045f27358173ed940afd91c81e2cff2497d63af559450850</t>
  </si>
  <si>
    <t>TWS0035</t>
  </si>
  <si>
    <t>保釋</t>
  </si>
  <si>
    <t>他獲保釋後接受電視專訪</t>
  </si>
  <si>
    <t>他/保釋/保釋/電視/訪問</t>
  </si>
  <si>
    <t>https://twtsl.ccu.edu.tw/sentence/b/S-bail_b.mp4</t>
  </si>
  <si>
    <t>2fc99f453c5186910218c7e401fffea9ed492039640f416743c2748d1f209a72</t>
  </si>
  <si>
    <t>TWS0036</t>
  </si>
  <si>
    <t>銀行</t>
  </si>
  <si>
    <t>這間銀行很古老</t>
  </si>
  <si>
    <t>這/銀行/地方/銀行/舊/古老</t>
  </si>
  <si>
    <t>https://twtsl.ccu.edu.tw/sentence/b/S-bank.mp4</t>
  </si>
  <si>
    <t>4e48d65a279ab64ca19e7de4f39f2404d63c771db81ce52eaf79f7746a1efb11</t>
  </si>
  <si>
    <t>TWS0037</t>
  </si>
  <si>
    <t>垮台</t>
  </si>
  <si>
    <t>藝人日前記者會宣布破產</t>
  </si>
  <si>
    <t>藝人/他/將來的最近/紀錄/人/會議/宣佈/我/破產</t>
  </si>
  <si>
    <t>https://twtsl.ccu.edu.tw/sentence/b/S-bankrupt.mp4</t>
  </si>
  <si>
    <t>c1d079cdc2cd9ee7c1120eb5b2625385ad00ae18640a1a443029b87c60002113</t>
  </si>
  <si>
    <t>TWS0038</t>
  </si>
  <si>
    <t>籃球</t>
  </si>
  <si>
    <t>籃球是我最喜歡的運動</t>
  </si>
  <si>
    <t>運動/類別/其中/籃球/我/喜歡/很</t>
  </si>
  <si>
    <t>https://twtsl.ccu.edu.tw/sentence/b/S-basketball.mp4</t>
  </si>
  <si>
    <t>c17d3580ff220644447290462ac00afb1c50226e973526f5a038dc6ae4191a51</t>
  </si>
  <si>
    <t>TWS0039</t>
  </si>
  <si>
    <t>洗澡_A</t>
  </si>
  <si>
    <t>他每天早晚都洗澡</t>
  </si>
  <si>
    <t>他/每天/早上/晚上/洗澡</t>
  </si>
  <si>
    <t>https://twtsl.ccu.edu.tw/sentence/b/S-bath_a.mp4</t>
  </si>
  <si>
    <t>8f20182e9c02f362938197ae5783373cd329ef340569d5588407458c62f1db06</t>
  </si>
  <si>
    <t>TWS0040</t>
  </si>
  <si>
    <t>美_N</t>
  </si>
  <si>
    <t>公園裡的玫瑰很美</t>
  </si>
  <si>
    <t>公園/花/玫瑰/美</t>
  </si>
  <si>
    <t>https://twtsl.ccu.edu.tw/sentence/b/S-beautiful_n.mp4</t>
  </si>
  <si>
    <t>f1284377e91b2cf5e66c8bb090392f5470f434817f3fb1f7a687ec10bcdc5e91</t>
  </si>
  <si>
    <t>TWS0041</t>
  </si>
  <si>
    <t>我喜歡那個漂亮的女生</t>
  </si>
  <si>
    <t>那/女生/漂亮/我/喜歡/見/喜歡</t>
  </si>
  <si>
    <t>https://twtsl.ccu.edu.tw/sentence/b/S-beautiful_n_2.mp4</t>
  </si>
  <si>
    <t>135be0bac5a77061041c6c6a4101a104866bc2509ebfadbe393c854db96134cd</t>
  </si>
  <si>
    <t>TWS0042</t>
  </si>
  <si>
    <t>蜜蜂</t>
  </si>
  <si>
    <t>森林遊玩要注意蜜蜂，以免被攻擊</t>
  </si>
  <si>
    <t>去/森林/玩/注意/什麼/蜜蜂/攻擊/小心/如果/攻擊/你/注意</t>
  </si>
  <si>
    <t>https://twtsl.ccu.edu.tw/sentence/b/S-bee.mp4</t>
  </si>
  <si>
    <t>1c094e6f87b275897d69be49daba514f276e4f6ddc81a6432e9c9558a01e87df</t>
  </si>
  <si>
    <t>TWS0043</t>
  </si>
  <si>
    <t>啤酒</t>
  </si>
  <si>
    <t>德國人喜歡喝啤酒</t>
  </si>
  <si>
    <t>德國/人/那/啤酒/那/喜歡/喝/喜歡</t>
  </si>
  <si>
    <t>https://twtsl.ccu.edu.tw/sentence/b/S-beer.mp4</t>
  </si>
  <si>
    <t>5b3863851e071e1a5bb1551d8ac51e07c55272a24db8b7201ade92e5b7af7fc1</t>
  </si>
  <si>
    <t>TWS0044</t>
  </si>
  <si>
    <t>求</t>
  </si>
  <si>
    <t>我求媽媽帶我去動物園玩</t>
  </si>
  <si>
    <t>動物園/玩/這/我/求/媽媽/求/媽媽/我/帶/去</t>
  </si>
  <si>
    <t>https://twtsl.ccu.edu.tw/sentence/b/S-beg.mp4</t>
  </si>
  <si>
    <t>1744e89f5460e4223ea0bbbc3aa96581aeda27e2911be8b1a965ad501124adff</t>
  </si>
  <si>
    <t>TWS0045</t>
  </si>
  <si>
    <t>相信</t>
  </si>
  <si>
    <t>我相信他不是故意的</t>
  </si>
  <si>
    <t>我/相信/他/故意/不是</t>
  </si>
  <si>
    <t>https://twtsl.ccu.edu.tw/sentence/b/S-believe.mp4</t>
  </si>
  <si>
    <t>24b479ce6f087f80a10dc996bb67c6b0ec0f32507d86aeedba14fc62bf98aab9</t>
  </si>
  <si>
    <t>TWS0046</t>
  </si>
  <si>
    <t>飲料</t>
  </si>
  <si>
    <t>我們去買飲料</t>
  </si>
  <si>
    <t>我們/去/飲料/買</t>
  </si>
  <si>
    <t>https://twtsl.ccu.edu.tw/sentence/b/S-beverages.mp4</t>
  </si>
  <si>
    <t>653fdea22b8a840a92a9e03220285c1328415635d553d7d8c3f00108eb846738</t>
  </si>
  <si>
    <t>TWS0047</t>
  </si>
  <si>
    <t>自行車_A</t>
  </si>
  <si>
    <t>我每天騎腳踏車上學</t>
  </si>
  <si>
    <t>我/每天/騎腳踏車/去/讀書</t>
  </si>
  <si>
    <t>https://twtsl.ccu.edu.tw/sentence/b/S-bicycle_a.mp4</t>
  </si>
  <si>
    <t>abe81992228f2f6a5c2e672810316bf12d34f8f2bb0927c72bef52e58dcf414d</t>
  </si>
  <si>
    <t>TWS0048</t>
  </si>
  <si>
    <t>鳥</t>
  </si>
  <si>
    <t>那隻鳥的顏色很特別</t>
  </si>
  <si>
    <t>那/鳥/顏色/特別</t>
  </si>
  <si>
    <t>https://twtsl.ccu.edu.tw/sentence/b/S-bird.mp4</t>
  </si>
  <si>
    <t>1b657c836e01c9a96c74b818c35fddedadec1bbeb88b439702a90e41f4140b21</t>
  </si>
  <si>
    <t>TWS0049</t>
  </si>
  <si>
    <t>黑</t>
  </si>
  <si>
    <t>他的白髮變黑了，好神奇</t>
  </si>
  <si>
    <t>他/白/髮/變/黑/奇怪</t>
  </si>
  <si>
    <t>https://twtsl.ccu.edu.tw/sentence/b/S-black.mp4</t>
  </si>
  <si>
    <t>1836dfdbbd190303f72d5f1faddad1bc6a0de1156a773b470ce724dc3f02c229</t>
  </si>
  <si>
    <t>TWS0050</t>
  </si>
  <si>
    <t>吹</t>
  </si>
  <si>
    <t>請朝著這張紙吹氣</t>
  </si>
  <si>
    <t>這/張/這/吹</t>
  </si>
  <si>
    <t>https://twtsl.ccu.edu.tw/sentence/b/S-blow.mp4</t>
  </si>
  <si>
    <t>e3199dad4fe24d5e8983248b76aa53104ce5da993720b013b372a87252928b12</t>
  </si>
  <si>
    <t>TWS0051</t>
  </si>
  <si>
    <t>藍</t>
  </si>
  <si>
    <t>今天的天空是藍色的</t>
  </si>
  <si>
    <t>今天/顏色/天空/藍/顏色</t>
  </si>
  <si>
    <t>https://twtsl.ccu.edu.tw/sentence/b/S-blue.mp4</t>
  </si>
  <si>
    <t>931e5bfe8ccde41a177d960b151af75d79414574a44f67df939e87dfed2e3f0e</t>
  </si>
  <si>
    <t>TWS0052</t>
  </si>
  <si>
    <t>身體_B</t>
  </si>
  <si>
    <t>每天跑步對身體很好</t>
  </si>
  <si>
    <t>每天/跑/身體/對/好</t>
  </si>
  <si>
    <t>https://twtsl.ccu.edu.tw/sentence/b/S-body_b.mp4</t>
  </si>
  <si>
    <t>e4801b0a6497dd5f07ad2f9f81082bfe91688016feb5e3b6d8cb52d10445c550</t>
  </si>
  <si>
    <t>TWS0053</t>
  </si>
  <si>
    <t>煮</t>
  </si>
  <si>
    <t>我喜歡煮魚料理</t>
  </si>
  <si>
    <t>魚/煮/我/喜歡</t>
  </si>
  <si>
    <t>https://twtsl.ccu.edu.tw/sentence/b/S-boil.mp4</t>
  </si>
  <si>
    <t>b5d3a8f75ddf83cd482eeab20ab988cbc202f1479fe241bc006fb3817ddf345b</t>
  </si>
  <si>
    <t>TWS0054</t>
  </si>
  <si>
    <t>麻煩</t>
  </si>
  <si>
    <t>照顧小孩真麻煩</t>
  </si>
  <si>
    <t>小孩/照顧/麻煩</t>
  </si>
  <si>
    <t>https://twtsl.ccu.edu.tw/sentence/b/S-bothersome.mp4</t>
  </si>
  <si>
    <t>0d25609d3ea54e1a9f8ae7a9ecb93bef7a462e33e0f14b5a6a3c72e37917676c</t>
  </si>
  <si>
    <t>TWS0055</t>
  </si>
  <si>
    <t>盆</t>
  </si>
  <si>
    <t>一碗米飯大概三百卡</t>
  </si>
  <si>
    <t>米/碗/大概/三百/熱/程度</t>
  </si>
  <si>
    <t>https://twtsl.ccu.edu.tw/sentence/b/S-bowl.mp4</t>
  </si>
  <si>
    <t>2760ceaf19705a98c4fa937550ec68c2ac9f7eae2479dae3793c1bdd5b549772</t>
  </si>
  <si>
    <t>TWS0056</t>
  </si>
  <si>
    <t>盒子</t>
  </si>
  <si>
    <t>這個盒子是空的</t>
  </si>
  <si>
    <t>這/盒子/空</t>
  </si>
  <si>
    <t>https://twtsl.ccu.edu.tw/sentence/b/S-box.mp4</t>
  </si>
  <si>
    <t>dc7a5584519429202e484dec2cc1bf11c2d198c63faad381a8a3e2d5e38565f1</t>
  </si>
  <si>
    <t>TWS0057</t>
  </si>
  <si>
    <t>麵包</t>
  </si>
  <si>
    <t>他買的麵包很香</t>
  </si>
  <si>
    <t>麵包/他/買/這/香</t>
  </si>
  <si>
    <t>https://twtsl.ccu.edu.tw/sentence/b/S-bread.mp4</t>
  </si>
  <si>
    <t>621d3dde06854ded8f96ab7366403b8148a93e887e0535eb88459486496c7a3d</t>
  </si>
  <si>
    <t>TWS0058</t>
  </si>
  <si>
    <t>打破</t>
  </si>
  <si>
    <t>弟弟打破了這個玻璃杯</t>
  </si>
  <si>
    <t>玻璃/杯子/這/弟弟/拿/打破</t>
  </si>
  <si>
    <t>https://twtsl.ccu.edu.tw/sentence/b/S-break.mp4</t>
  </si>
  <si>
    <t>42545eea60d41db39ab8730577dae488acadb27317911415e692d901656b9b4b</t>
  </si>
  <si>
    <t>TWS0059</t>
  </si>
  <si>
    <t>生意</t>
  </si>
  <si>
    <t>集市擠滿了買賣東西的人</t>
  </si>
  <si>
    <t>買賣/地方/人/擠/買/賣/東西/賣</t>
  </si>
  <si>
    <t>https://twtsl.ccu.edu.tw/sentence/b/S-business.mp4</t>
  </si>
  <si>
    <t>a23bc4a4a7f82688f3d6a4cedd90b87eca3b85e035d1ab6b048fd5cc9ea1fe82</t>
  </si>
  <si>
    <t>TWS0060</t>
  </si>
  <si>
    <t>忙</t>
  </si>
  <si>
    <t>我忙得沒時間吃飯</t>
  </si>
  <si>
    <t>我/忙/吃飯/時間/沒有</t>
  </si>
  <si>
    <t>https://twtsl.ccu.edu.tw/sentence/b/S-busy.mp4</t>
  </si>
  <si>
    <t>021f385a8a7c4d45836f03033c2bd27efb2ad9e011f1a5bfdf6e3d5118da4c28</t>
  </si>
  <si>
    <t>TWS0061</t>
  </si>
  <si>
    <t>不過</t>
  </si>
  <si>
    <t>他很熱情，可是並不囉嗦</t>
  </si>
  <si>
    <t>他/熱情/很/可是/囉嗦/不會</t>
  </si>
  <si>
    <t>https://twtsl.ccu.edu.tw/sentence/b/S-but.mp4</t>
  </si>
  <si>
    <t>3a51834bfc2f4381537375c7e232df3e793db91720a2e31aa7642afa7c724f30</t>
  </si>
  <si>
    <t>TWS0062</t>
  </si>
  <si>
    <t>買_A</t>
  </si>
  <si>
    <t>我買了去日本的機票</t>
  </si>
  <si>
    <t>飛機/去/日本/飛機/票/我/買/結束</t>
  </si>
  <si>
    <t>https://twtsl.ccu.edu.tw/sentence/b/S-buy_a.mp4</t>
  </si>
  <si>
    <t>232055e89d7346a19613abfad89c2de1503c0f9887c4148c883fbc7f32777d19</t>
  </si>
  <si>
    <t>TWS0063</t>
  </si>
  <si>
    <t>叫</t>
  </si>
  <si>
    <t>鐘響之後，老師就叫學生回來上課</t>
  </si>
  <si>
    <t>鈴/完了/老師/叫/大家過來/念書</t>
  </si>
  <si>
    <t>https://twtsl.ccu.edu.tw/sentence/c/S-call.mp4</t>
  </si>
  <si>
    <t>03850413876968f1b54ced45b0e1ca2073c02c9366c8b3e051cc762e931a6605</t>
  </si>
  <si>
    <t>TWS0064</t>
  </si>
  <si>
    <t>照相_A</t>
  </si>
  <si>
    <t>我們一起照相</t>
  </si>
  <si>
    <t>我倆/一起/照相</t>
  </si>
  <si>
    <t>https://twtsl.ccu.edu.tw/sentence/c/S-camera_a.mp4</t>
  </si>
  <si>
    <t>6cc270e51592cf6af5df19ce5135524bf11b92802522b2f735d2bbf442a398e0</t>
  </si>
  <si>
    <t>TWS0065</t>
  </si>
  <si>
    <t>片</t>
  </si>
  <si>
    <t>他幫我買火車票</t>
  </si>
  <si>
    <t>火車/票/他/幫我/買</t>
  </si>
  <si>
    <t>https://twtsl.ccu.edu.tw/sentence/t/S-ticket.mp4</t>
  </si>
  <si>
    <t>3e1d750b4fef372fb81e94e8d9e817406f78cda883cbb7e1079075857cdb4e97</t>
  </si>
  <si>
    <t>TWS0066</t>
  </si>
  <si>
    <t>注意</t>
  </si>
  <si>
    <t>過馬路要注意安全</t>
  </si>
  <si>
    <t>路/邊/走/安全/注意</t>
  </si>
  <si>
    <t>https://twtsl.ccu.edu.tw/sentence/c/S-careful.mp4</t>
  </si>
  <si>
    <t>6e34115d213132bdb6f8067d2263a32da7038277d3f91dd12ce33059cca45895</t>
  </si>
  <si>
    <t>TWS0067</t>
  </si>
  <si>
    <t>帶</t>
  </si>
  <si>
    <t>老師帶學生參加科學展覽</t>
  </si>
  <si>
    <t>科學展/學生/老師/帶/進入</t>
  </si>
  <si>
    <t>https://twtsl.ccu.edu.tw/sentence/c/S-carry.mp4</t>
  </si>
  <si>
    <t>d1dec790ad7c3bbda5085607bfd50bd69817b3b4d6d15203455ef14ed70517b0</t>
  </si>
  <si>
    <t>TWS0068</t>
  </si>
  <si>
    <t>貓</t>
  </si>
  <si>
    <t>貓很可愛</t>
  </si>
  <si>
    <t>那/貓/可愛</t>
  </si>
  <si>
    <t>https://twtsl.ccu.edu.tw/sentence/c/S-cat.mp4</t>
  </si>
  <si>
    <t>37d8a0331dcbd8fe50e3bf17fd9519012495c3f403859d28a5edb5319bcb0b01</t>
  </si>
  <si>
    <t>TWS0069</t>
  </si>
  <si>
    <t>抓_B</t>
  </si>
  <si>
    <t>昨天他們一起抓住了小偷</t>
  </si>
  <si>
    <t>小(偷)/這/他/昨天/他們/一起/抓</t>
  </si>
  <si>
    <t>https://twtsl.ccu.edu.tw/sentence/c/S-catch_b.mp4</t>
  </si>
  <si>
    <t>7ba0b7daafa095cc1963a95a82ecf953f26c8919a2fd5bf2c2b1685c66d2769b</t>
  </si>
  <si>
    <t>TWS0070</t>
  </si>
  <si>
    <t>感冒_B</t>
  </si>
  <si>
    <t>醫生要我配合，感冒才會好得快</t>
  </si>
  <si>
    <t>醫生/要/我/相配/要/感冒/病/恢復/快/能</t>
  </si>
  <si>
    <t>https://twtsl.ccu.edu.tw/sentence/c/S-catchcold_b.mp4</t>
  </si>
  <si>
    <t>40b669e291ace5a8cbea3d2d59ffe920f4a785e90d128995cde994454266dc46</t>
  </si>
  <si>
    <t>TWS0071</t>
  </si>
  <si>
    <t>剁</t>
  </si>
  <si>
    <t>媽媽把這塊肉切成碎塊</t>
  </si>
  <si>
    <t>肉/塊/媽媽/剁/碎塊/剁/碎塊</t>
  </si>
  <si>
    <t>https://twtsl.ccu.edu.tw/sentence/c/S-cut_a.mp4</t>
  </si>
  <si>
    <t>db5475ddd305493d666826a7ebcdbd781cdcfdae95ead89162a83b56a9ec0ff3</t>
  </si>
  <si>
    <t>TWS0072</t>
  </si>
  <si>
    <t>慶祝_A</t>
  </si>
  <si>
    <t>明天我們要慶祝你的生日</t>
  </si>
  <si>
    <t>你/生日/明天/我們/幫忙/祝/慶祝</t>
  </si>
  <si>
    <t>https://twtsl.ccu.edu.tw/sentence/c/S-celebrate_a.mp4</t>
  </si>
  <si>
    <t>e9765f546e64c0c12a8cb993d1ea62ef01d84e960995c8fff01cc732e20449f5</t>
  </si>
  <si>
    <t>TWS0073</t>
  </si>
  <si>
    <t>椅子</t>
  </si>
  <si>
    <t>這張椅子少了一隻腳</t>
  </si>
  <si>
    <t>這/椅子/四隻腳/腳/少一</t>
  </si>
  <si>
    <t>https://twtsl.ccu.edu.tw/sentence/c/S-chair.mp4</t>
  </si>
  <si>
    <t>fad12c455b01e5949458fee31c9d63117da00bd8235584e89641d0ae477cd598</t>
  </si>
  <si>
    <t>TWS0074</t>
  </si>
  <si>
    <t>改</t>
  </si>
  <si>
    <t>毛毛蟲變成蝴蝶了</t>
  </si>
  <si>
    <t>毛毛蟲/變/蝴蝶</t>
  </si>
  <si>
    <t>https://twtsl.ccu.edu.tw/sentence/c/S-change_a.mp4</t>
  </si>
  <si>
    <t>e7bfaefc68c9d5a5fb552309ad138b3f6d2f9f0f1a65645e5d054ca339c11c00</t>
  </si>
  <si>
    <t>TWS0075</t>
  </si>
  <si>
    <t>請修改這份文件</t>
  </si>
  <si>
    <t>請/張/請/改/這/改</t>
  </si>
  <si>
    <t>https://twtsl.ccu.edu.tw/sentence/c/S-change_a_2.mp4</t>
  </si>
  <si>
    <t>b845f2d5a21b7a42b46d3e7ef3d989d9129a688f26a7c641e6fdad05e1ede66b</t>
  </si>
  <si>
    <t>TWS0076</t>
  </si>
  <si>
    <t>位置交換_B</t>
  </si>
  <si>
    <t>我希望能與你交換位置</t>
  </si>
  <si>
    <t>我/希望/什麼/你/我/位置交換</t>
  </si>
  <si>
    <t>https://twtsl.ccu.edu.tw/sentence/c/S-change_position_b.mp4</t>
  </si>
  <si>
    <t>f082161ed9afe22d17ac8e2156213319b46f8d881904d75583c727e6ba86ccb3</t>
  </si>
  <si>
    <t>TWS0077</t>
  </si>
  <si>
    <t>表格</t>
  </si>
  <si>
    <t>這份文件需要再增加表格及圖示說明</t>
  </si>
  <si>
    <t>這/張/這/要/加/什麼/表格/再/第二個/畫/內容/解釋</t>
  </si>
  <si>
    <t>https://twtsl.ccu.edu.tw/sentence/c/S-chart.mp4</t>
  </si>
  <si>
    <t>860a77c8e94acabd5b3baee37fb33bb610c5702e44e0df6a334d2e79e7ad9955</t>
  </si>
  <si>
    <t>TWS0078</t>
  </si>
  <si>
    <t>追</t>
  </si>
  <si>
    <t>哥哥追著弟弟跑</t>
  </si>
  <si>
    <t>弟弟/哥哥/追/跑/追</t>
  </si>
  <si>
    <t>https://twtsl.ccu.edu.tw/sentence/c/S-chase.mp4</t>
  </si>
  <si>
    <t>9ddd64753bff6fbd47ec1f17c7df9732a70639d515faa8d211f24dc5082c1d6e</t>
  </si>
  <si>
    <t>TWS0079</t>
  </si>
  <si>
    <t>聊天</t>
  </si>
  <si>
    <t>聊天是舒壓的好方法</t>
  </si>
  <si>
    <t>舒服/身體/方法/什麼/聊天/棒</t>
  </si>
  <si>
    <t>https://twtsl.ccu.edu.tw/sentence/c/S-chat_a.mp4</t>
  </si>
  <si>
    <t>30a8693e740a3938002c37f1f981142b38139c9f838d09d98bf13f8f1e63b303</t>
  </si>
  <si>
    <t>TWS0080</t>
  </si>
  <si>
    <t>吃飯的時候專心吃飯，請勿聊天</t>
  </si>
  <si>
    <t>你/吃飯/聊天/不/吃飯/正(認真)/吃飯</t>
  </si>
  <si>
    <t>https://twtsl.ccu.edu.tw/sentence/c/S-chat_a_2.mp4</t>
  </si>
  <si>
    <t>f380b71fd95e964e89a16d17235fc0f16efb69b04d7136439004e56f63e8a8ad</t>
  </si>
  <si>
    <t>TWS0081</t>
  </si>
  <si>
    <t>便宜_A</t>
  </si>
  <si>
    <t>這輛車很便宜</t>
  </si>
  <si>
    <t>這/車/便宜</t>
  </si>
  <si>
    <t>https://twtsl.ccu.edu.tw/sentence/c/S-cheap_a.mp4</t>
  </si>
  <si>
    <t>b050473f750f362c414050e2887771bf13916c69047066cf42b5ae8405fe4e96</t>
  </si>
  <si>
    <t>TWS0082</t>
  </si>
  <si>
    <t>作弊</t>
  </si>
  <si>
    <t>考試不可作弊</t>
  </si>
  <si>
    <t>考試/作弊/不能</t>
  </si>
  <si>
    <t>https://twtsl.ccu.edu.tw/sentence/c/S-cheat.mp4</t>
  </si>
  <si>
    <t>eaf935497a8c780011fecf6e1964e35c2525540eef0352145e869b27554e4655</t>
  </si>
  <si>
    <t>TWS0083</t>
  </si>
  <si>
    <t>主任</t>
  </si>
  <si>
    <t>爸爸是英語系主任</t>
  </si>
  <si>
    <t>爸爸/他/英文系/主任/是</t>
  </si>
  <si>
    <t>https://twtsl.ccu.edu.tw/sentence/c/S-chief.mp4</t>
  </si>
  <si>
    <t>098afdc51236d1b08904b4fc99d40dd6c4d907c0768e539f3052818a52a8f56c</t>
  </si>
  <si>
    <t>TWS0084</t>
  </si>
  <si>
    <t>小孩</t>
  </si>
  <si>
    <t>他的小孩長大了</t>
  </si>
  <si>
    <t>他/小孩/長大</t>
  </si>
  <si>
    <t>https://twtsl.ccu.edu.tw/sentence/c/S-child.mp4</t>
  </si>
  <si>
    <t>11b31d6db6be4a8e278fa8d78625ca0371a75161edc261a3494c93ec136d0645</t>
  </si>
  <si>
    <t>TWS0085</t>
  </si>
  <si>
    <t>有好多小孩在跑來跑去</t>
  </si>
  <si>
    <t>小孩/他們/跑來跑去</t>
  </si>
  <si>
    <t>https://twtsl.ccu.edu.tw/sentence/c/S-child_2.mp4</t>
  </si>
  <si>
    <t>a9c19d527cafab713cf3f8fd671e43e2a767c6510cb6687b098886c3aa2a71b8</t>
  </si>
  <si>
    <t>TWS0086</t>
  </si>
  <si>
    <t>幼稚</t>
  </si>
  <si>
    <t>他是成熟男人還是幼稚男孩?</t>
  </si>
  <si>
    <t>他/男/人/成(成人)/怎麼/幼稚/小孩/男/怎麼/這倆個/怎麼</t>
  </si>
  <si>
    <t>https://twtsl.ccu.edu.tw/sentence/c/S-childish_a.mp4</t>
  </si>
  <si>
    <t>8eb5174a37b7454018073e78d1d8d978aad320c63fa16d42722c18f77517e569</t>
  </si>
  <si>
    <t>TWS0087</t>
  </si>
  <si>
    <t>春節_A</t>
  </si>
  <si>
    <t>農曆新年很熱鬧</t>
  </si>
  <si>
    <t>春節/溫暖/熱鬧/吵鬧</t>
  </si>
  <si>
    <t>https://twtsl.ccu.edu.tw/sentence/c/S-chinese_new_year_a.mp4</t>
  </si>
  <si>
    <t>d1146b43d9adbf97867792fcd414c0e504db3b39a466c396a12847431848ca84</t>
  </si>
  <si>
    <t>TWS0088</t>
  </si>
  <si>
    <t>水餃</t>
  </si>
  <si>
    <t>我會包水餃</t>
  </si>
  <si>
    <t>我/水餃/會</t>
  </si>
  <si>
    <t>https://twtsl.ccu.edu.tw/sentence/c/S-chinese_ravioli.mp4</t>
  </si>
  <si>
    <t>546017e51ec6dda7bcb5bb0c9f58022610701b7ed781cdeb53108177fd5ad0b8</t>
  </si>
  <si>
    <t>TWS0089</t>
  </si>
  <si>
    <t>挑選</t>
  </si>
  <si>
    <t>請挑選你要的顏色</t>
  </si>
  <si>
    <t>你/顏色/你/想/什麼/你/選</t>
  </si>
  <si>
    <t>https://twtsl.ccu.edu.tw/sentence/c/S-choose.mp4</t>
  </si>
  <si>
    <t>a2d5fad3a9cfdb2c8dc936e6a3d545e2be90eb08ced53e10bb3388a69ee94f4c</t>
  </si>
  <si>
    <t>TWS0090</t>
  </si>
  <si>
    <t>筷子_N</t>
  </si>
  <si>
    <t>鐵筷比竹筷還要環保</t>
  </si>
  <si>
    <t>鐵/筷子/竹子/筷子/比較/這/環保/棒/贏</t>
  </si>
  <si>
    <t>https://twtsl.ccu.edu.tw/sentence/c/S-chopsticks_n.mp4</t>
  </si>
  <si>
    <t>05f5abcda94935bd154c8cae0565c7a873b6227fb3d9189a4ce89b4fcc6c4e18</t>
  </si>
  <si>
    <t>TWS0091</t>
  </si>
  <si>
    <t>筷子_S</t>
  </si>
  <si>
    <t>竹/筷子/鐵/筷子/比較/這/環保/棒/贏</t>
  </si>
  <si>
    <t>https://twtsl.ccu.edu.tw/sentence/c/S-chopsticks_s.mp4</t>
  </si>
  <si>
    <t>43bc00f4975d0761f41b0b8d70834a98c4e6496c42df94015cca60981f260509</t>
  </si>
  <si>
    <t>TWS0092</t>
  </si>
  <si>
    <t>教堂</t>
  </si>
  <si>
    <t>星期天去教會</t>
  </si>
  <si>
    <t>禮拜天/去/教堂</t>
  </si>
  <si>
    <t>https://twtsl.ccu.edu.tw/sentence/c/S-church.mp4</t>
  </si>
  <si>
    <t>38f7077006f2c8dc2e16353b8dfa8eceffabc6e21c4263e351f566d7a6a2f331</t>
  </si>
  <si>
    <t>TWS0093</t>
  </si>
  <si>
    <t>這裡新蓋了一間教堂</t>
  </si>
  <si>
    <t>這/新/建設/什麼/教堂</t>
  </si>
  <si>
    <t>https://twtsl.ccu.edu.tw/sentence/c/S-church_2.mp4</t>
  </si>
  <si>
    <t>943c8e59c645f49f4a269a4c8ed6b780d6ef90dc108bd5f45b70c3bb779ad85a</t>
  </si>
  <si>
    <t>TWS0094</t>
  </si>
  <si>
    <t>抽煙</t>
  </si>
  <si>
    <t>他對菸酒上癮</t>
  </si>
  <si>
    <t>他/這/香煙/酒/上癮</t>
  </si>
  <si>
    <t>https://twtsl.ccu.edu.tw/sentence/c/S-cigarette.mp4</t>
  </si>
  <si>
    <t>585e6968bd51cb7d4408380ddf350bfd4964b4eb15ff964d68e85d4aeebb5007</t>
  </si>
  <si>
    <t>TWS0095</t>
  </si>
  <si>
    <t>校園禁止抽煙</t>
  </si>
  <si>
    <t>學校/這/抽煙/禁止</t>
  </si>
  <si>
    <t>https://twtsl.ccu.edu.tw/sentence/c/S-cigarette_2.mp4</t>
  </si>
  <si>
    <t>9ae06c4b366d7003e454c1c80cd4d2373f113b13f5c4436e204ecb2ac424bc03</t>
  </si>
  <si>
    <t>TWS0096</t>
  </si>
  <si>
    <t>城_S</t>
  </si>
  <si>
    <t>這座城市很漂亮</t>
  </si>
  <si>
    <t>這/城/四周/美/美</t>
  </si>
  <si>
    <t>https://twtsl.ccu.edu.tw/sentence/c/S-city.mp4</t>
  </si>
  <si>
    <t>7e2816db2672135957d6ea74a0f1cf6e62fe8ddacc92c210b47596d7baac105e</t>
  </si>
  <si>
    <t>TWS0097</t>
  </si>
  <si>
    <t>索賠</t>
  </si>
  <si>
    <t>剛剛發生車禍，於是我申請了保險理賠</t>
  </si>
  <si>
    <t>剛剛/發生/車禍/這/申請/保險/索賠</t>
  </si>
  <si>
    <t>https://twtsl.ccu.edu.tw/sentence/c/S-claim_for_compensation.mp4</t>
  </si>
  <si>
    <t>18db233ca912aa637544b4a9a6136119e89b97cce929c9461babeaa9e9c4f83d</t>
  </si>
  <si>
    <t>TWS0098</t>
  </si>
  <si>
    <t>同學_A</t>
  </si>
  <si>
    <t>他跟我是同學</t>
  </si>
  <si>
    <t>我倆/同學/是</t>
  </si>
  <si>
    <t>https://twtsl.ccu.edu.tw/sentence/c/S-classmate.mp4</t>
  </si>
  <si>
    <t>17c9cbf8e6b9fe6f3deca94e45be8defdd3dcee001305070bd4b665b3c829d67</t>
  </si>
  <si>
    <t>TWS0099</t>
  </si>
  <si>
    <t>乾淨</t>
  </si>
  <si>
    <t>你的房間整理得很乾淨</t>
  </si>
  <si>
    <t>你/住/房間/那/乾淨/棒/整理/棒</t>
  </si>
  <si>
    <t>https://twtsl.ccu.edu.tw/sentence/c/S-clean.mp4</t>
  </si>
  <si>
    <t>b5c0f2543ebbd50a243cc0f1f5871ea8f9c53ca3b785489ee8dcedfdc1301984</t>
  </si>
  <si>
    <t>TWS0100</t>
  </si>
  <si>
    <t>病人使用過的東西記得必須清洗乾淨</t>
  </si>
  <si>
    <t>病人/這/使用/東西/這/你/記得/什麼/那/東西/乾淨/洗/東西/乾淨/要</t>
  </si>
  <si>
    <t>https://twtsl.ccu.edu.tw/sentence/c/S-clean_2.mp4</t>
  </si>
  <si>
    <t>f43630dadf19c28d57ca195eba753d40b71911eb9d72d4f639490008a134a867</t>
  </si>
  <si>
    <t>TWS0101</t>
  </si>
  <si>
    <t>關門</t>
  </si>
  <si>
    <t>你離開時，幫我把門關上</t>
  </si>
  <si>
    <t>你/離開家/幫我/關門</t>
  </si>
  <si>
    <t>https://twtsl.ccu.edu.tw/sentence/c/S-close_a_door.mp4</t>
  </si>
  <si>
    <t>8a1a264cdd5b9e0e9ab07c3ad9305a35d056d54083db97af697dcfb33001df73</t>
  </si>
  <si>
    <t>TWS0102</t>
  </si>
  <si>
    <t>關門時要輕一點</t>
  </si>
  <si>
    <t>你/手把/關門/關門/輕</t>
  </si>
  <si>
    <t>https://twtsl.ccu.edu.tw/sentence/c/S-close_a_door_2.mp4</t>
  </si>
  <si>
    <t>354347273637c528b0a9ceda6cf4faa4173b345f82241b167b0ec915c52ecd97</t>
  </si>
  <si>
    <t>TWS0103</t>
  </si>
  <si>
    <t>衣服</t>
  </si>
  <si>
    <t>衣服在桌子上</t>
  </si>
  <si>
    <t>桌子/衣服/放</t>
  </si>
  <si>
    <t>https://twtsl.ccu.edu.tw/sentence/c/S-clothes.mp4</t>
  </si>
  <si>
    <t>0299dd12002c6d29422a684dee985427577df3ef48ba78c88f4645c80fe3c4f9</t>
  </si>
  <si>
    <t>TWS0104</t>
  </si>
  <si>
    <t>雲</t>
  </si>
  <si>
    <t>雲在天上</t>
  </si>
  <si>
    <t>雲/那裡</t>
  </si>
  <si>
    <t>https://twtsl.ccu.edu.tw/sentence/c/S-cloud.mp4</t>
  </si>
  <si>
    <t>173a737a20ad5e71f28cce24fd18839aede443aa84532053e2be8c58c68d28e5</t>
  </si>
  <si>
    <t>TWS0105</t>
  </si>
  <si>
    <t>陰天</t>
  </si>
  <si>
    <t>昨天陰天，今天大太陽</t>
  </si>
  <si>
    <t>昨天/陰天/現在/太陽</t>
  </si>
  <si>
    <t>https://twtsl.ccu.edu.tw/sentence/c/S-cloudy_day.mp4</t>
  </si>
  <si>
    <t>be506f2535c0bf1a05a21ee7f506a77cebc103d98b05ae6f4203d19cca246383</t>
  </si>
  <si>
    <t>TWS0106</t>
  </si>
  <si>
    <t>小丑_A</t>
  </si>
  <si>
    <t>這個小丑不時出現，逗人發笑</t>
  </si>
  <si>
    <t>這/小/小丑/忽然/到處/笑/幽默</t>
  </si>
  <si>
    <t>https://twtsl.ccu.edu.tw/sentence/c/S-clown_a.mp4</t>
  </si>
  <si>
    <t>e9b457179bddf72471b54d416d8c8ed737ff3f3419bb1314bbc7ec6f44c11c95</t>
  </si>
  <si>
    <t>TWS0107</t>
  </si>
  <si>
    <t>蟑螂</t>
  </si>
  <si>
    <t>媽媽很怕蟑螂</t>
  </si>
  <si>
    <t>那/蟑螂媽媽/那/怕</t>
  </si>
  <si>
    <t>https://twtsl.ccu.edu.tw/sentence/c/S-cockroach.mp4</t>
  </si>
  <si>
    <t>a63e8794accc9c4cc3f69c17b11320c33b1f279616a584cae82af62250233813</t>
  </si>
  <si>
    <t>TWS0108</t>
  </si>
  <si>
    <t>咖啡</t>
  </si>
  <si>
    <t>這杯咖啡很苦</t>
  </si>
  <si>
    <t>這/咖啡/喝/苦</t>
  </si>
  <si>
    <t>https://twtsl.ccu.edu.tw/sentence/c/S-coffee.mp4</t>
  </si>
  <si>
    <t>15f3850e947574a6aeffa12fcb404c98f63cf18046747cc011ac76c88c2d51bd</t>
  </si>
  <si>
    <t>TWS0109</t>
  </si>
  <si>
    <t>冬_A</t>
  </si>
  <si>
    <t>吃完一大碗冰後我覺得很冷</t>
  </si>
  <si>
    <t>冰/大碗/我/吃/覺得/冷</t>
  </si>
  <si>
    <t>https://twtsl.ccu.edu.tw/sentence/c/S-cold.mp4</t>
  </si>
  <si>
    <t>39240aa46fe9643a176c923e3a89f39b5354a9d9e6ab50d91374a802dd402847</t>
  </si>
  <si>
    <t>TWS0110</t>
  </si>
  <si>
    <t>收集</t>
  </si>
  <si>
    <t>你有收集郵票嗎?</t>
  </si>
  <si>
    <t>郵票/張/郵票/你/收集/有沒有</t>
  </si>
  <si>
    <t>https://twtsl.ccu.edu.tw/sentence/c/S-collect.mp4</t>
  </si>
  <si>
    <t>5abda350c26edab0fe216bfb4d8d14a86b46f8c1d98434b4ac76c89e9d0b8360</t>
  </si>
  <si>
    <t>TWS0111</t>
  </si>
  <si>
    <t>顏色_A</t>
  </si>
  <si>
    <t>這個顏色太暗了</t>
  </si>
  <si>
    <t>這/顏色/暗</t>
  </si>
  <si>
    <t>https://twtsl.ccu.edu.tw/sentence/c/S-color_n.mp4</t>
  </si>
  <si>
    <t>a3731f4a80b80ed11b2f36ca6f2b0e87cab0c9eabb513828e9e5508d87326326</t>
  </si>
  <si>
    <t>TWS0112</t>
  </si>
  <si>
    <t>舒服_A</t>
  </si>
  <si>
    <t>這衣服穿起來很舒服</t>
  </si>
  <si>
    <t>這/衣服/穿/舒服</t>
  </si>
  <si>
    <t>https://twtsl.ccu.edu.tw/sentence/c/S-comfortable_a.mp4</t>
  </si>
  <si>
    <t>0aa4dbff36200c8576f178e1778681df4540b7e89eede1fa917ed9bb0d23b81b</t>
  </si>
  <si>
    <t>TWS0113</t>
  </si>
  <si>
    <t>命令</t>
  </si>
  <si>
    <t>剛剛爸爸命令我去整理房 間</t>
  </si>
  <si>
    <t>剛剛/爸爸/命令我/去/房間/整理</t>
  </si>
  <si>
    <t>https://twtsl.ccu.edu.tw/sentence/c/S-command.mp4</t>
  </si>
  <si>
    <t>64bad779ce3e64541a39d27ee575b8232e824b82ec88925060202ee01c12c1df</t>
  </si>
  <si>
    <t>TWS0114</t>
  </si>
  <si>
    <t>紀念</t>
  </si>
  <si>
    <t>他送給我一張照片作紀念</t>
  </si>
  <si>
    <t>他/送我/張/照片/紀念</t>
  </si>
  <si>
    <t>https://twtsl.ccu.edu.tw/sentence/c/S-commemorate.mp4</t>
  </si>
  <si>
    <t>4f9cda8970907f1cb6ff4cfca31da90821dd3fbdd94134bf903caa60320125bc</t>
  </si>
  <si>
    <t>TWS0115</t>
  </si>
  <si>
    <t>會員</t>
  </si>
  <si>
    <t>這裡的會員可以免費使用運動器材</t>
  </si>
  <si>
    <t>這/會員/可以/每/所有/可以/什麼/這/運動/東西/什麼/全部/免費/全部/可以</t>
  </si>
  <si>
    <t>https://twtsl.ccu.edu.tw/sentence/c/S-commemorative_button.mp4</t>
  </si>
  <si>
    <t>2d3c22dea9e1c185022eb70a4bb77ca8aec524ad928636ba0d6b7b7ac3e6f8c9</t>
  </si>
  <si>
    <t>TWS0116</t>
  </si>
  <si>
    <t>司空見慣_A</t>
  </si>
  <si>
    <t>我拿「冠軍」已經是司空見慣了</t>
  </si>
  <si>
    <t>第一名/拿/我/每/司空見慣</t>
  </si>
  <si>
    <t>https://twtsl.ccu.edu.tw/sentence/c/S-common_sight_a.mp4</t>
  </si>
  <si>
    <t>7781d854c33034be6ed97c44b4cb765de01e825eb75bbc30fce468fe6a5191bf</t>
  </si>
  <si>
    <t>TWS0117</t>
  </si>
  <si>
    <t>交際</t>
  </si>
  <si>
    <t>開會時要充分溝通</t>
  </si>
  <si>
    <t>開會/溝通/要/溝通/想/什麼/溝通/要</t>
  </si>
  <si>
    <t>https://twtsl.ccu.edu.tw/sentence/c/S-communication.mp4</t>
  </si>
  <si>
    <t>20a21aee254dc335f4b65b5eb700f91d54b31a75f4f6fec5f3dfcb2a65921cee</t>
  </si>
  <si>
    <t>TWS0118</t>
  </si>
  <si>
    <t>通學_B</t>
  </si>
  <si>
    <t>他通學一年了，身體很累，所以決定住校。</t>
  </si>
  <si>
    <t>他/通學/一年/身體/累/想/一定/住/學校</t>
  </si>
  <si>
    <t>https://twtsl.ccu.edu.tw/sentence/c/S-commute_b.mp4</t>
  </si>
  <si>
    <t>82da5d14dc7c8ea923983901a4169db819018c6e68a2df1fcd7b0685ac5e2a75</t>
  </si>
  <si>
    <t>TWS0119</t>
  </si>
  <si>
    <t>公司</t>
  </si>
  <si>
    <t>謝謝貴公司一直以來對我們的信任與支持</t>
  </si>
  <si>
    <t>謝謝/你/公司/你/相信/我們/支持</t>
  </si>
  <si>
    <t>https://twtsl.ccu.edu.tw/sentence/c/S-company.mp4</t>
  </si>
  <si>
    <t>a3095a3bf469d2ea5b623f108f013540cd210102507d03c6cd081199937e2e06</t>
  </si>
  <si>
    <t>TWS0120</t>
  </si>
  <si>
    <t>比較</t>
  </si>
  <si>
    <t>弟弟和哥哥在比較誰比較高</t>
  </si>
  <si>
    <t>弟弟/哥哥/比較/高/贏/誰</t>
  </si>
  <si>
    <t>https://twtsl.ccu.edu.tw/sentence/c/S-compare.mp4</t>
  </si>
  <si>
    <t>63247a0f50eaac21011f1a77f339237d7ca9a0af1a8754d546860e1c4c6e5817</t>
  </si>
  <si>
    <t>TWS0121</t>
  </si>
  <si>
    <t>比賽</t>
  </si>
  <si>
    <t>弟弟比賽第一名</t>
  </si>
  <si>
    <t>弟弟/比賽/第一名</t>
  </si>
  <si>
    <t>https://twtsl.ccu.edu.tw/sentence/c/S-compete.mp4</t>
  </si>
  <si>
    <t>bb5ed33a21881f1d6f489813525e4abb661524f3f9efb5f346ee4bbc1c4e518e</t>
  </si>
  <si>
    <t>TWS0122</t>
  </si>
  <si>
    <t>複雜</t>
  </si>
  <si>
    <t>隨著科技的進步，手機功能也越來越複雜</t>
  </si>
  <si>
    <t>科技/快/進步/手機/種類/這/複雜/手機/複雜/這/複雜</t>
  </si>
  <si>
    <t>https://twtsl.ccu.edu.tw/sentence/c/S-complicated_a.mp4</t>
  </si>
  <si>
    <t>85c34fefacba18b50de6545f203103ec4bb43dd6eaa332497f22f6d7a5d6ad4b</t>
  </si>
  <si>
    <t>TWS0123</t>
  </si>
  <si>
    <t>關心</t>
  </si>
  <si>
    <t>我們要常常關心家人</t>
  </si>
  <si>
    <t>這/家/父母/兄弟/這/他們/常常/關心/要</t>
  </si>
  <si>
    <t>https://twtsl.ccu.edu.tw/sentence/c/S-concerned.mp4</t>
  </si>
  <si>
    <t>915fb17b62ffff5fe23ac466127cd4b4ccd48957a8eddfcfc5a7e62defbf3620</t>
  </si>
  <si>
    <t>TWS0124</t>
  </si>
  <si>
    <t>祝</t>
  </si>
  <si>
    <t>祝你生日快樂</t>
  </si>
  <si>
    <t>祝/蛋糕/快樂</t>
  </si>
  <si>
    <t>https://twtsl.ccu.edu.tw/sentence/c/S-congratulate.mp4</t>
  </si>
  <si>
    <t>690615632d6b1dd04229945a18609daf76ada0a8ba54afae5e8fb466e5d4f1ff</t>
  </si>
  <si>
    <t>TWS0125</t>
  </si>
  <si>
    <t>守舊</t>
  </si>
  <si>
    <t>這部電影既愚蠢、無聊又保守</t>
  </si>
  <si>
    <t>這/電影/呆/呆板/守舊</t>
  </si>
  <si>
    <t>https://twtsl.ccu.edu.tw/sentence/c/S-conservative_a.mp4</t>
  </si>
  <si>
    <t>918415e104c5ea0cdb13303a58f41c3403327dfe06b4e8d34559478c0ef1b3d9</t>
  </si>
  <si>
    <t>TWS0126</t>
  </si>
  <si>
    <t>聯絡</t>
  </si>
  <si>
    <t>請你下次記得與我聯絡</t>
  </si>
  <si>
    <t>請/你/下/記得/我/聯絡/要</t>
  </si>
  <si>
    <t>https://twtsl.ccu.edu.tw/sentence/c/S-contact.mp4</t>
  </si>
  <si>
    <t>672c50af6ceb082444e36e1c54d8c936d55df462cc475bf53d68ab9752a6b91e</t>
  </si>
  <si>
    <t>TWS0127</t>
  </si>
  <si>
    <t>散播</t>
  </si>
  <si>
    <t>散播疫情假訊息，最高罰300萬元</t>
  </si>
  <si>
    <t>散播/病/擋/傳染/那/假/那/罰/最高/錢/三百/萬</t>
  </si>
  <si>
    <t>https://twtsl.ccu.edu.tw/sentence/c/S-contagious.mp4</t>
  </si>
  <si>
    <t>3a1e2e9bb18a15160f2085be9909e3fa8b00448cff1501c79b5b5d62de759cf7</t>
  </si>
  <si>
    <t>TWS0128</t>
  </si>
  <si>
    <t>簽約</t>
  </si>
  <si>
    <t>你要仔細看簽約的內容</t>
  </si>
  <si>
    <t>你/寫/簽約/張/你/閱讀/細/閱讀/要</t>
  </si>
  <si>
    <t>https://twtsl.ccu.edu.tw/sentence/c/S-contract.mp4</t>
  </si>
  <si>
    <t>10dabeebfabf3904473c28660ecd0c78498f70b3a9b3ddf383af3da2ca1477dd</t>
  </si>
  <si>
    <t>TWS0129</t>
  </si>
  <si>
    <t>反覆_B</t>
  </si>
  <si>
    <t>你做事一定要考慮清楚，不要反反覆覆</t>
  </si>
  <si>
    <t>你/做/事/什麼/你/想/清楚/再/一定/出爾反爾/不要</t>
  </si>
  <si>
    <t>https://twtsl.ccu.edu.tw/sentence/c/S-contradict_oneself_b.mp4</t>
  </si>
  <si>
    <t>8081e0805d1ad74340a1de459d7e7ec9dd426df88f97860beafd7093f7ebe81e</t>
  </si>
  <si>
    <t>TWS0130</t>
  </si>
  <si>
    <t>正確</t>
  </si>
  <si>
    <t>這個答案正確</t>
  </si>
  <si>
    <t>這/答案/正確</t>
  </si>
  <si>
    <t>https://twtsl.ccu.edu.tw/sentence/c/S-correct.mp4</t>
  </si>
  <si>
    <t>ffc6db51d97c4e8d22b34cbb521d1751fa8ddcb814ada4d64277dfdca1215fb3</t>
  </si>
  <si>
    <t>TWS0131</t>
  </si>
  <si>
    <t>貪污</t>
  </si>
  <si>
    <t>這個市長不腐敗貪婪，很公正</t>
  </si>
  <si>
    <t>這/市長/他/貪污/貪心/沒有/他/公/正/好</t>
  </si>
  <si>
    <t>https://twtsl.ccu.edu.tw/sentence/c/S-corrupt_a.mp4</t>
  </si>
  <si>
    <t>0791838f9bd4d61acbe08e05f2c2a43ba319a110a1d62193d6c209d8104d48b6</t>
  </si>
  <si>
    <t>TWS0132</t>
  </si>
  <si>
    <t>咳嗽</t>
  </si>
  <si>
    <t>咳嗽要記得吃藥</t>
  </si>
  <si>
    <t>咳嗽/藥/吃/記得</t>
  </si>
  <si>
    <t>https://twtsl.ccu.edu.tw/sentence/c/S-cough.mp4</t>
  </si>
  <si>
    <t>01da3dbb276f9d306431bcbae350255d9ac45bd353dcdf8abf125e0c1fdbdf0b</t>
  </si>
  <si>
    <t>TWS0133</t>
  </si>
  <si>
    <t>國</t>
  </si>
  <si>
    <t>國與國之間的關係，瞬息萬變</t>
  </si>
  <si>
    <t>國/國/兩個/關係/忽然/變化</t>
  </si>
  <si>
    <t>https://twtsl.ccu.edu.tw/sentence/c/S-country.mp4</t>
  </si>
  <si>
    <t>4b6566ff3fe9fae36098b8f6caa44e256e8cdf73e499161d7aa896c432bc74bf</t>
  </si>
  <si>
    <t>TWS0134</t>
  </si>
  <si>
    <t>課</t>
  </si>
  <si>
    <t>他最喜歡音樂課</t>
  </si>
  <si>
    <t>唱歌/指揮/課/他/喜歡</t>
  </si>
  <si>
    <t>https://twtsl.ccu.edu.tw/sentence/c/S-course.mp4</t>
  </si>
  <si>
    <t>dd300480a18854ab0edbe717e2b64e164fc0513794df1dc6735bc4d5b12f1b01</t>
  </si>
  <si>
    <t>TWS0135</t>
  </si>
  <si>
    <t>契約_A</t>
  </si>
  <si>
    <t>毀約可不是賠錢就能了事</t>
  </si>
  <si>
    <t>你/契約/你/失約/賠錢/不</t>
  </si>
  <si>
    <t>https://twtsl.ccu.edu.tw/sentence/c/S-covenant_a.mp4</t>
  </si>
  <si>
    <t>c8cda6949c3cc24d45f4e87d02497770e648c9de6d3bf8d9b09db4678969970c</t>
  </si>
  <si>
    <t>TWS0136</t>
  </si>
  <si>
    <t>簽訂契約時要先仔細檢查條文</t>
  </si>
  <si>
    <t>契約/張/契約/要/什麼/閱讀/細/要</t>
  </si>
  <si>
    <t>https://twtsl.ccu.edu.tw/sentence/c/S-covenant_a_2.mp4</t>
  </si>
  <si>
    <t>d3fb7f27f759dd115d09e85fb26b1bc4a603e4363f39e66502d69b3ecb789d90</t>
  </si>
  <si>
    <t>TWS0137</t>
  </si>
  <si>
    <t>貪心</t>
  </si>
  <si>
    <t>做人不要太貪心，否則會因小失大</t>
  </si>
  <si>
    <t>做/人/貪心/不/不然/浪費/怕</t>
  </si>
  <si>
    <t>https://twtsl.ccu.edu.tw/sentence/c/S-covet.mp4</t>
  </si>
  <si>
    <t>56313f4c9c553ac01d3e58a5b133c1958c742be00d1d7a4b92caa27ce4ec5799</t>
  </si>
  <si>
    <t>TWS0138</t>
  </si>
  <si>
    <t>牛</t>
  </si>
  <si>
    <t>牛可以幫忙耕田</t>
  </si>
  <si>
    <t>牛/可以/幫忙/什麼/那/耕田/田/耕田/可以</t>
  </si>
  <si>
    <t>https://twtsl.ccu.edu.tw/sentence/c/S-cow.mp4</t>
  </si>
  <si>
    <t>206ee0d8e592c0e607aa889f21331dff491ca77d106ec335d0784ad537f82872</t>
  </si>
  <si>
    <t>TWS0139</t>
  </si>
  <si>
    <t>發狂</t>
  </si>
  <si>
    <t>他又遲到了，令我發狂</t>
  </si>
  <si>
    <t>他/遲到/老是/積怨/發狂</t>
  </si>
  <si>
    <t>https://twtsl.ccu.edu.tw/sentence/l/S-lose_one's_mind.mp4</t>
  </si>
  <si>
    <t>f2e60f36283362a69f8deed00ff6d4a7a8da84ced9b8cc266d857bc5a9224861</t>
  </si>
  <si>
    <t>TWS0140</t>
  </si>
  <si>
    <t>刑警</t>
  </si>
  <si>
    <t>他是一位負責的刑警</t>
  </si>
  <si>
    <t>他/刑警/警察/他/工作/事情/負責/好</t>
  </si>
  <si>
    <t>https://twtsl.ccu.edu.tw/sentence/c/S-criminal_police.mp4</t>
  </si>
  <si>
    <t>44229cc8892f8cb2bf6f0e2276123e86516e832209a520697ddfcba2f9cc82ca</t>
  </si>
  <si>
    <t>TWS0141</t>
  </si>
  <si>
    <t>批評</t>
  </si>
  <si>
    <t>遭人批評的時候，要先冷靜的自我反省</t>
  </si>
  <si>
    <t>他們/批評/我/生氣/不要/冷靜/想/自己/看/看自己/自己</t>
  </si>
  <si>
    <t>https://twtsl.ccu.edu.tw/sentence/c/S-criticize.mp4</t>
  </si>
  <si>
    <t>95d5fa2fab257aa5601ec742842a0c32169e0c7c6b20c767bfb789010d18b3ee</t>
  </si>
  <si>
    <t>TWS0142</t>
  </si>
  <si>
    <t>穿越</t>
  </si>
  <si>
    <t>過馬路要停下來兩邊看看</t>
  </si>
  <si>
    <t>你/路/走過/等/等/左見/右見</t>
  </si>
  <si>
    <t>https://twtsl.ccu.edu.tw/sentence/c/S-cross.mp4</t>
  </si>
  <si>
    <t>3565f59bd918c6d9edabd42b96ae1807c85ac9e3de833d700e4450f26231687e</t>
  </si>
  <si>
    <t>TWS0143</t>
  </si>
  <si>
    <t>湧入</t>
  </si>
  <si>
    <t>那家店湧入了許多人潮</t>
  </si>
  <si>
    <t>那/商店/人/湧入</t>
  </si>
  <si>
    <t>https://twtsl.ccu.edu.tw/sentence/c/S-crowd_into.mp4</t>
  </si>
  <si>
    <t>23a77872613d887b480e06ad4bbfa745a2533d3f96cc3f1a219905da94ff63bd</t>
  </si>
  <si>
    <t>TWS0144</t>
  </si>
  <si>
    <t>擁擠</t>
  </si>
  <si>
    <t>早上搭公車的人很多很擠</t>
  </si>
  <si>
    <t>早上/公車/裡面/人/多/擠</t>
  </si>
  <si>
    <t>https://twtsl.ccu.edu.tw/sentence/c/S-crowded.mp4</t>
  </si>
  <si>
    <t>4186faa1a9d44e423a1a11be35b90833fa1a144d2e6900a3aa1b14e69fe53fb2</t>
  </si>
  <si>
    <t>TWS0145</t>
  </si>
  <si>
    <t>哭_A</t>
  </si>
  <si>
    <t>他哭了</t>
  </si>
  <si>
    <t>他/哭</t>
  </si>
  <si>
    <t>https://twtsl.ccu.edu.tw/sentence/c/S-cry_a.mp4</t>
  </si>
  <si>
    <t>29c310772ef5bdb6d2e13b23a02a64c5e776bb2c1b2a727a66f98cd1792b7e88</t>
  </si>
  <si>
    <t>TWS0146</t>
  </si>
  <si>
    <t>栽培</t>
  </si>
  <si>
    <t>孩子的教育不能等</t>
  </si>
  <si>
    <t>孩子/屬於他們/教育/培養/等/等/不能</t>
  </si>
  <si>
    <t>https://twtsl.ccu.edu.tw/sentence/c/S-cultivate.mp4</t>
  </si>
  <si>
    <t>a01ceeb2eebc60332b9d8c5e52a49f17af394078906d2e940e1d5cafeace3c5f</t>
  </si>
  <si>
    <t>TWS0147</t>
  </si>
  <si>
    <t>好奇</t>
  </si>
  <si>
    <t>我第一次出國，對於所看到的一 切事物都很好奇</t>
  </si>
  <si>
    <t>我/搭飛機/第一次/我/對於/見/好奇/見/好奇</t>
  </si>
  <si>
    <t>https://twtsl.ccu.edu.tw/sentence/c/S-curious.mp4</t>
  </si>
  <si>
    <t>ce3d9eb3cd189d767194b9bcd96047840539fe332873038d94c08443d7e2cb64</t>
  </si>
  <si>
    <t>TWS0148</t>
  </si>
  <si>
    <t>逃學</t>
  </si>
  <si>
    <t>剛剛接到學校電話，兒子又逃學了</t>
  </si>
  <si>
    <t>剛剛/接電話/學校/接電話/我/兒子/逃/逃學/老是</t>
  </si>
  <si>
    <t>https://twtsl.ccu.edu.tw/sentence/c/S-cut_class_b.mp4</t>
  </si>
  <si>
    <t>013caca1ec56485a11de385a2449cbcd0f749f05cef857ce55a7fecec8e5e102</t>
  </si>
  <si>
    <t>TWS0149</t>
  </si>
  <si>
    <t>插隊</t>
  </si>
  <si>
    <t>等車應該依序排隊，不可插隊</t>
  </si>
  <si>
    <t>那/車/這/等/這/人/輪流/排隊/插隊/不行</t>
  </si>
  <si>
    <t>https://twtsl.ccu.edu.tw/sentence/c/S-cut_in_a_line.mp4</t>
  </si>
  <si>
    <t>eace45e8a99ccac7d113453c1d641a6c98af2b4f24bd2cb1ba567080eb4c54ba</t>
  </si>
  <si>
    <t>TWS0150</t>
  </si>
  <si>
    <t>降價_B</t>
  </si>
  <si>
    <t>每年換季期間，百貨公司都會降價</t>
  </si>
  <si>
    <t>每/年/衣服/換/什麼/短袖/長袖/換/時間/期/這/百貨公司/這/會/降價</t>
  </si>
  <si>
    <t>https://twtsl.ccu.edu.tw/sentence/c/S-cut_price_b.mp4</t>
  </si>
  <si>
    <t>fd324a55d2c65dba98e8b545faa9ba4d96eb3f446343dbc0e4ba4122b339a008</t>
  </si>
  <si>
    <t>TWS0151</t>
  </si>
  <si>
    <t>跳舞_N</t>
  </si>
  <si>
    <t>跳舞是好的運動</t>
  </si>
  <si>
    <t>跳舞/這/運動/好</t>
  </si>
  <si>
    <t>https://twtsl.ccu.edu.tw/sentence/d/S-dance_n.mp4</t>
  </si>
  <si>
    <t>e03db3f378386700763b865c5fb54fae8f0acd91f4db3f6301cfcd954bd6f19f</t>
  </si>
  <si>
    <t>TWS0152</t>
  </si>
  <si>
    <t>辯論</t>
  </si>
  <si>
    <t>他與我辯論，往往勝利</t>
  </si>
  <si>
    <t>他/我/辯論/我/輸/他/辯論/他/贏</t>
  </si>
  <si>
    <t>https://twtsl.ccu.edu.tw/sentence/d/S-debate.mp4</t>
  </si>
  <si>
    <t>04efc750133b6485bd8dffd8c3fbf49b8127cf58e0d425e94ce399f02a9cdf78</t>
  </si>
  <si>
    <t>TWS0153</t>
  </si>
  <si>
    <t>蛀牙</t>
  </si>
  <si>
    <t>保持口腔乾淨是預防蛀牙最好的方法</t>
  </si>
  <si>
    <t>你/口/乾淨/好/什麼/蛀牙/刷牙/髒/黏/不行/刷牙/乾淨/蟲/不會</t>
  </si>
  <si>
    <t>https://twtsl.ccu.edu.tw/sentence/d/S-decayed_tooth.mp4</t>
  </si>
  <si>
    <t>5e7fadaa24618d0b02774628003590c94b4d11dd0f4543369a88794d25a8fb49</t>
  </si>
  <si>
    <t>TWS0154</t>
  </si>
  <si>
    <t>深_B</t>
  </si>
  <si>
    <t>這個洞穴很深</t>
  </si>
  <si>
    <t>這/洞/很/深</t>
  </si>
  <si>
    <t>https://twtsl.ccu.edu.tw/sentence/d/S-deep_b.mp4</t>
  </si>
  <si>
    <t>f02ae498bc1ad3c5e0915215c4ab09de396aa4edfedfbfcc1879ea039ba291da</t>
  </si>
  <si>
    <t>TWS0155</t>
  </si>
  <si>
    <t>一定</t>
  </si>
  <si>
    <t>我決定努力學習手語</t>
  </si>
  <si>
    <t>手語/學/我/決定/努力</t>
  </si>
  <si>
    <t>https://twtsl.ccu.edu.tw/sentence/d/S-definite.mp4</t>
  </si>
  <si>
    <t>61ecc40013152c2ce9067fa80ae0192eeb5046b793d16d2966b163cfeaaa927d</t>
  </si>
  <si>
    <t>TWS0156</t>
  </si>
  <si>
    <t>你一定要幫我</t>
  </si>
  <si>
    <t>你/幫我/一定</t>
  </si>
  <si>
    <t>https://twtsl.ccu.edu.tw/sentence/d/S-definite_2.mp4</t>
  </si>
  <si>
    <t>cfaa67e7659972418e65544bb3c8fbed534b21b3893e15353aa45c0b5f4b4e4b</t>
  </si>
  <si>
    <t>TWS0157</t>
  </si>
  <si>
    <t>他想一定要去美國讀書</t>
  </si>
  <si>
    <t>他/想/一定/去/美國/讀書</t>
  </si>
  <si>
    <t>https://twtsl.ccu.edu.tw/sentence/d/S-definite_3.mp4</t>
  </si>
  <si>
    <t>d2946dabb1839ea92ff884480c9a8516d620d75489a67bc8f005abf0ee5c6a99</t>
  </si>
  <si>
    <t>TWS0158</t>
  </si>
  <si>
    <t>水準</t>
  </si>
  <si>
    <t>台灣製造的機器品質很好</t>
  </si>
  <si>
    <t>台灣/有/機器/建設/各式各樣/品/程度/特別/好</t>
  </si>
  <si>
    <t>https://twtsl.ccu.edu.tw/sentence/d/S-degree.mp4</t>
  </si>
  <si>
    <t>8142cb50d8bfc78889093e2d3896091cf6202d44f74be6f096bb9e8185c37a5c</t>
  </si>
  <si>
    <t>TWS0159</t>
  </si>
  <si>
    <t>送</t>
  </si>
  <si>
    <t>他送我一張卡片</t>
  </si>
  <si>
    <t>卡片/他/送我</t>
  </si>
  <si>
    <t>https://twtsl.ccu.edu.tw/sentence/d/S-deliver.mp4</t>
  </si>
  <si>
    <t>ed5867dfa25615d7551f94a5cea6aa3d58ef757a56650821f0d3837534210ebc</t>
  </si>
  <si>
    <t>TWS0160</t>
  </si>
  <si>
    <t>設計</t>
  </si>
  <si>
    <t>這座橋的外型設計很好看又有創意</t>
  </si>
  <si>
    <t>這/橋/這/設計/樣子/見/好/創作/好</t>
  </si>
  <si>
    <t>https://twtsl.ccu.edu.tw/sentence/d/S-design.mp4</t>
  </si>
  <si>
    <t>3000f090f1e108d78e0bd8c754ceaae387f26e1ec85e12cafcc801041e2b732f</t>
  </si>
  <si>
    <t>TWS0161</t>
  </si>
  <si>
    <t>字典</t>
  </si>
  <si>
    <t>不懂的字要勤查字典</t>
  </si>
  <si>
    <t>字/一竅不通/自己/這/檢查/字典/要</t>
  </si>
  <si>
    <t>https://twtsl.ccu.edu.tw/sentence/d/S-dictionary.mp4</t>
  </si>
  <si>
    <t>f10a9970687f1f40a697d85283c7d4c04c7fae37cd88ea533e96cae90d2f2437</t>
  </si>
  <si>
    <t>TWS0162</t>
  </si>
  <si>
    <t>死</t>
  </si>
  <si>
    <t>我的狗昨天死了</t>
  </si>
  <si>
    <t>昨天/我/狗/死</t>
  </si>
  <si>
    <t>https://twtsl.ccu.edu.tw/sentence/d/S-die_a.mp4</t>
  </si>
  <si>
    <t>22934fa022f54bb89bfd4cc14051dbb2db27f8137838ca902b9be1d98c063513</t>
  </si>
  <si>
    <t>TWS0163</t>
  </si>
  <si>
    <t>不一樣</t>
  </si>
  <si>
    <t>我們/吃飯/飲料/習慣/四處/國外/不一樣</t>
  </si>
  <si>
    <t>https://twtsl.ccu.edu.tw/sentence/d/S-different.mp4</t>
  </si>
  <si>
    <t>d26997db78c82cfa01a74224bfc42a12601ee59745148c21d2f5ceec3e20a55a</t>
  </si>
  <si>
    <t>TWS0164</t>
  </si>
  <si>
    <t>困難</t>
  </si>
  <si>
    <t>遇到困難時，我可以幫你</t>
  </si>
  <si>
    <t>碰見/困難/有/我/幫你/可以</t>
  </si>
  <si>
    <t>https://twtsl.ccu.edu.tw/sentence/d/S-difficult.mp4</t>
  </si>
  <si>
    <t>8666bae305d9de838663451f858bc8088e01467d8684ac56b2a34d308f6589b0</t>
  </si>
  <si>
    <t>TWS0165</t>
  </si>
  <si>
    <t>昨天的考試很難</t>
  </si>
  <si>
    <t>昨天/考試/難</t>
  </si>
  <si>
    <t>https://twtsl.ccu.edu.tw/sentence/d/S-difficult_2.mp4</t>
  </si>
  <si>
    <t>6162d6e034cbf98e8e3f7377402254b493ad69bb5e35575220c554cdaff2724b</t>
  </si>
  <si>
    <t>TWS0166</t>
  </si>
  <si>
    <t>消化</t>
  </si>
  <si>
    <t>這/東西/吃/消化/簡單/這/老人/老/吃/適合/這</t>
  </si>
  <si>
    <t>https://twtsl.ccu.edu.tw/sentence/d/S-digest.mp4</t>
  </si>
  <si>
    <t>eddc8bf3d931cdeb1b22070121950cf8113877052807a811cfc19bd33f0528ff</t>
  </si>
  <si>
    <t>TWS0167</t>
  </si>
  <si>
    <t>用功_A</t>
  </si>
  <si>
    <t>妹妹正在用功念書</t>
  </si>
  <si>
    <t>妹妹/現在/用功/念書/用功/用功</t>
  </si>
  <si>
    <t>https://twtsl.ccu.edu.tw/sentence/i/S-industrious_a.mp4</t>
  </si>
  <si>
    <t>89dd1e9054c87dee784e9ca01e9b64739add82b37b0efa395573250df57f194e</t>
  </si>
  <si>
    <t>TWS0168</t>
  </si>
  <si>
    <t>髒</t>
  </si>
  <si>
    <t>你的手很髒</t>
  </si>
  <si>
    <t>你/手/髒/很</t>
  </si>
  <si>
    <t>https://twtsl.ccu.edu.tw/sentence/d/S-dirty.mp4</t>
  </si>
  <si>
    <t>f97a7745118a4db40c928dcf062c4ece99adb92d9edafdf7a55ef7fa0a03570a</t>
  </si>
  <si>
    <t>TWS0169</t>
  </si>
  <si>
    <t>失望</t>
  </si>
  <si>
    <t>郊遊計畫因下雨而取消，令人失望難過</t>
  </si>
  <si>
    <t>旅遊/玩/設計/計畫/那/下雨/取消/失望/難過</t>
  </si>
  <si>
    <t>https://twtsl.ccu.edu.tw/sentence/d/S-disappointed.mp4</t>
  </si>
  <si>
    <t>e7f950224195dcf7772fb4a5c24f8d55e51fd6cbf0859b5f0ff66caf77b5fc88</t>
  </si>
  <si>
    <t>TWS0170</t>
  </si>
  <si>
    <t>灰心</t>
  </si>
  <si>
    <t>不要難過，我會陪你</t>
  </si>
  <si>
    <t>難過/不/我/陪伴/會</t>
  </si>
  <si>
    <t>https://twtsl.ccu.edu.tw/sentence/d/S-discouraged.mp4</t>
  </si>
  <si>
    <t>5fcc7f64996b81d1884b9e0378010b891ae2fd5187f253111ab761f088779bd3</t>
  </si>
  <si>
    <t>TWS0171</t>
  </si>
  <si>
    <t>你不要因為碰到小小的阻礙而灰心</t>
  </si>
  <si>
    <t>你/碰壁/阻礙/少/灰心/不要</t>
  </si>
  <si>
    <t>https://twtsl.ccu.edu.tw/sentence/d/S-discouraged_2.mp4</t>
  </si>
  <si>
    <t>f2bfac8a9d3dd8f145becbc4e9256127b163e3b2520d3a6d87d3bd411c985755</t>
  </si>
  <si>
    <t>TWS0172</t>
  </si>
  <si>
    <t>討論</t>
  </si>
  <si>
    <t>我們在討論畢業旅行的事情</t>
  </si>
  <si>
    <t>我們/討論/什麼/畢業/旅行</t>
  </si>
  <si>
    <t>https://twtsl.ccu.edu.tw/sentence/d/S-discuss.mp4</t>
  </si>
  <si>
    <t>6194ec80d0589fe3e0bd89595141bf075a009e406c069df35e039aaab72f7aea</t>
  </si>
  <si>
    <t>TWS0173</t>
  </si>
  <si>
    <t>討厭_S</t>
  </si>
  <si>
    <t>我怕兔子，看到兔子會討厭</t>
  </si>
  <si>
    <t>這/兔子/這/怕/見/討厭/不喜歡</t>
  </si>
  <si>
    <t>https://twtsl.ccu.edu.tw/sentence/d/S-disagreeable_s.mp4</t>
  </si>
  <si>
    <t>037210ec4b294b37fb95f51019f45d17b1d482f757086c4b675a2f3f1a171932</t>
  </si>
  <si>
    <t>TWS0174</t>
  </si>
  <si>
    <t>盤子</t>
  </si>
  <si>
    <t>弟弟喜歡收集盤子</t>
  </si>
  <si>
    <t>盤子/弟弟/喜歡/收集/喜歡</t>
  </si>
  <si>
    <t>https://twtsl.ccu.edu.tw/sentence/d/S-dish.mp4</t>
  </si>
  <si>
    <t>5d89b84dea7002be61caadf35e61723db8b63c811baf8174cf9fc4b3d2749255</t>
  </si>
  <si>
    <t>TWS0175</t>
  </si>
  <si>
    <t>解散</t>
  </si>
  <si>
    <t>解散後，大家自行回去</t>
  </si>
  <si>
    <t>解散/大家/自己/回去</t>
  </si>
  <si>
    <t>https://twtsl.ccu.edu.tw/sentence/d/S-dismiss.mp4</t>
  </si>
  <si>
    <t>9d7ccc71abf2449af9925a3c0061c54a6e75328f2a1fde6cec9bd15b4c9349a3</t>
  </si>
  <si>
    <t>TWS0176</t>
  </si>
  <si>
    <t>下課</t>
  </si>
  <si>
    <t>下課去商店買飲料</t>
  </si>
  <si>
    <t>下課/去/買賣/地方/飲料/買</t>
  </si>
  <si>
    <t>https://twtsl.ccu.edu.tw/sentence/d/S-dismiss_class.mp4</t>
  </si>
  <si>
    <t>0d31c447237a25ac3fc07036c92a5bb5a83ba7e68fe89f79ed8a8f472545faa8</t>
  </si>
  <si>
    <t>TWS0177</t>
  </si>
  <si>
    <t>離婚</t>
  </si>
  <si>
    <t>他們倆剛離婚</t>
  </si>
  <si>
    <t>他倆/剛剛/離婚</t>
  </si>
  <si>
    <t>https://twtsl.ccu.edu.tw/sentence/d/S-divorce.mp4</t>
  </si>
  <si>
    <t>6ae124e68095b85ffbe60ed9625b28a9f297ea4087d8e3737b94c9b596848a22</t>
  </si>
  <si>
    <t>TWS0178</t>
  </si>
  <si>
    <t>頭暈</t>
  </si>
  <si>
    <t>頭暈是高血壓的症狀之一</t>
  </si>
  <si>
    <t>頭/頭暈/什麼/高血壓/病/其中/一</t>
  </si>
  <si>
    <t>https://twtsl.ccu.edu.tw/sentence/d/S-dizzy_a.mp4</t>
  </si>
  <si>
    <t>13d583a27dca159a0efc1d4ae759a7f9f4c642abce26798c423145007c943dc6</t>
  </si>
  <si>
    <t>TWS0179</t>
  </si>
  <si>
    <t>工作</t>
  </si>
  <si>
    <t>工作要認真</t>
  </si>
  <si>
    <t>工作/認真/要</t>
  </si>
  <si>
    <t>https://twtsl.ccu.edu.tw/sentence/d/S-do.mp4</t>
  </si>
  <si>
    <t>e4d9550fe64aff749104f48a8a6b26d3df5be0a4a4ca9dcfdb1f37ad9036dee7</t>
  </si>
  <si>
    <t>TWS0180</t>
  </si>
  <si>
    <t>沒關係_A</t>
  </si>
  <si>
    <t>這件事和他沒關係，你不能牽扯到他</t>
  </si>
  <si>
    <t>這/事情/他/沒關係/你/抓他進來/不能</t>
  </si>
  <si>
    <t>https://twtsl.ccu.edu.tw/sentence/d/S-does_not_matter.mp4</t>
  </si>
  <si>
    <t>b40520152413c8fc4640a7d267880e3ed593fe0ffbf727c625c5fbf3435767a7</t>
  </si>
  <si>
    <t>TWS0181</t>
  </si>
  <si>
    <t>犬</t>
  </si>
  <si>
    <t>這隻狗很瘦</t>
  </si>
  <si>
    <t>這/狗/瘦</t>
  </si>
  <si>
    <t>https://twtsl.ccu.edu.tw/sentence/d/S-dog.mp4</t>
  </si>
  <si>
    <t>242a7796814d127f1190a219c4591f1ed448475b7d5a856007105c21b6e3ccf9</t>
  </si>
  <si>
    <t>TWS0182</t>
  </si>
  <si>
    <t>門</t>
  </si>
  <si>
    <t>門上有很多裝飾</t>
  </si>
  <si>
    <t>門/這/物體</t>
  </si>
  <si>
    <t>https://twtsl.ccu.edu.tw/sentence/d/S-door.mp4</t>
  </si>
  <si>
    <t>11a66266b169ac815b2ff3d40de8f6dc0da91bd37d3756cc36c961a2d6fca295</t>
  </si>
  <si>
    <t>TWS0183</t>
  </si>
  <si>
    <t>喝</t>
  </si>
  <si>
    <t>我想喝汽水，請你幫我去買好嗎</t>
  </si>
  <si>
    <t>汽水/我/想/喝/你/幫我/去/買/好</t>
  </si>
  <si>
    <t>https://twtsl.ccu.edu.tw/sentence/d/S-drink.mp4</t>
  </si>
  <si>
    <t>496f51ca39c80fa56053671ec850ce159775ae43653376a10c447f6ebb92398c</t>
  </si>
  <si>
    <t>TWS0184</t>
  </si>
  <si>
    <t>開車</t>
  </si>
  <si>
    <t>開車需要有駕照</t>
  </si>
  <si>
    <t>開車/證明/要</t>
  </si>
  <si>
    <t>https://twtsl.ccu.edu.tw/sentence/d/S-drive.mp4</t>
  </si>
  <si>
    <t>373e5c0309c9d027d432c8478d2aabd899fd4f0ec6a05e9f107f8aee3f9928f1</t>
  </si>
  <si>
    <t>TWS0185</t>
  </si>
  <si>
    <t>乾_A</t>
  </si>
  <si>
    <t>我口渴，要喝水</t>
  </si>
  <si>
    <t>乾/我/喝/要/喝/要</t>
  </si>
  <si>
    <t>https://twtsl.ccu.edu.tw/sentence/d/S-dry_a.mp4</t>
  </si>
  <si>
    <t>b7a68f1abdcc2cc6f8f0228d9fb28d4c38b4e349269de81981aff49fcad76b67</t>
  </si>
  <si>
    <t>TWS0186</t>
  </si>
  <si>
    <t>容易_A</t>
  </si>
  <si>
    <t>用電鍋煮蛋很簡單</t>
  </si>
  <si>
    <t>電鍋/蛋/蛋放進去電鍋/煮/簡單/便利</t>
  </si>
  <si>
    <t>https://twtsl.ccu.edu.tw/sentence/e/S-easy_a.mp4</t>
  </si>
  <si>
    <t>4cbf5081c95d068e00ef921ef3b888ceac799b4b2be7347f29e9201feb55e86a</t>
  </si>
  <si>
    <t>TWS0187</t>
  </si>
  <si>
    <t>這張考卷很簡單</t>
  </si>
  <si>
    <t>這/紙/考試/紙/容易/容易</t>
  </si>
  <si>
    <t>https://twtsl.ccu.edu.tw/sentence/e/S-easy_a_2.mp4</t>
  </si>
  <si>
    <t>3c5b8946cdeaa71e71c995539cabdf50eefcf3513fcc36d94919cc57274a4271</t>
  </si>
  <si>
    <t>TWS0188</t>
  </si>
  <si>
    <t>吃</t>
  </si>
  <si>
    <t>他包的餃子很好吃</t>
  </si>
  <si>
    <t>他/水餃/吃/好</t>
  </si>
  <si>
    <t>https://twtsl.ccu.edu.tw/sentence/e/S-eat.mp4</t>
  </si>
  <si>
    <t>c8143b2050e7291b6c32b9788b47e4a174e07823ff892629ba0514c9a70926d9</t>
  </si>
  <si>
    <t>TWS0189</t>
  </si>
  <si>
    <t>吃飯_A</t>
  </si>
  <si>
    <t>你今天晚上要回家吃飯嗎</t>
  </si>
  <si>
    <t>你/今天/晚上/回家/吃飯/要</t>
  </si>
  <si>
    <t>https://twtsl.ccu.edu.tw/sentence/e/S-eat_rice.mp4</t>
  </si>
  <si>
    <t>6645c8f2a10e8fba8fabea03aa645b253656c30d27fc58fd3f6d97483178e0f5</t>
  </si>
  <si>
    <t>TWS0190</t>
  </si>
  <si>
    <t>用功_B</t>
  </si>
  <si>
    <t>他努力得到第一名</t>
  </si>
  <si>
    <t>他/認真/努力/獲得/第一名</t>
  </si>
  <si>
    <t>https://twtsl.ccu.edu.tw/sentence/e/S-effort.mp4</t>
  </si>
  <si>
    <t>cf027b402b9cf5902be4da80beede4e5898bc1b322dee4adad7982e639070156</t>
  </si>
  <si>
    <t>TWS0191</t>
  </si>
  <si>
    <t>自大_B</t>
  </si>
  <si>
    <t>他常說話說得太自大，你可別相信</t>
  </si>
  <si>
    <t>他/演講/自大/演講/你/他/相信他/不行</t>
  </si>
  <si>
    <t>https://twtsl.ccu.edu.tw/sentence/e/S-egoistic.mp4</t>
  </si>
  <si>
    <t>a96e2c2a1ba65e505937fa883054154c7eab23ba83e294b7cd9f3250e43869ae</t>
  </si>
  <si>
    <t>TWS0192</t>
  </si>
  <si>
    <t>抱</t>
  </si>
  <si>
    <t>媽媽抱抱小孩</t>
  </si>
  <si>
    <t>小孩/媽媽/抱</t>
  </si>
  <si>
    <t>https://twtsl.ccu.edu.tw/sentence/e/S-embrace.mp4</t>
  </si>
  <si>
    <t>59c246342c4212af6819aa99272c86d22db31b248546c3a0b6bea236fa91ca49</t>
  </si>
  <si>
    <t>TWS0193</t>
  </si>
  <si>
    <t>空_B</t>
  </si>
  <si>
    <t>家裡沒有人</t>
  </si>
  <si>
    <t>家/裡/人/空</t>
  </si>
  <si>
    <t>https://twtsl.ccu.edu.tw/sentence/e/S-empty_b.mp4</t>
  </si>
  <si>
    <t>3e626e7ea44d874f25d4892643b272dab8747f3dd169e2e84799da36ab48e1a8</t>
  </si>
  <si>
    <t>TWS0194</t>
  </si>
  <si>
    <t>敵人</t>
  </si>
  <si>
    <t>最近又發生以色列和巴勒斯坦國家衝突</t>
  </si>
  <si>
    <t>最近/總是/發生/什麼/以色列/這/巴勒斯坦/這/國/二/國家/敵人/常常/發生</t>
  </si>
  <si>
    <t>https://twtsl.ccu.edu.tw/sentence/e/S-enemy.mp4</t>
  </si>
  <si>
    <t>9767b12cdd161398d1273987a9ff7b3727bc7a6c5e334ea8afa9259b3a8a3f36</t>
  </si>
  <si>
    <t>TWS0195</t>
  </si>
  <si>
    <t>英文</t>
  </si>
  <si>
    <t>把英文學好很重要</t>
  </si>
  <si>
    <t>讀/英文/讀/學習/重要</t>
  </si>
  <si>
    <t>https://twtsl.ccu.edu.tw/sentence/e/S-english.mp4</t>
  </si>
  <si>
    <t>e1c4e7477c30ee7dcfc4abd4091bb148a26e56faa35df44c35473e2878a65138</t>
  </si>
  <si>
    <t>TWS0196</t>
  </si>
  <si>
    <t>四周</t>
  </si>
  <si>
    <t>環境保護，人人有責</t>
  </si>
  <si>
    <t>環境/保護/每/人/責任</t>
  </si>
  <si>
    <t>https://twtsl.ccu.edu.tw/sentence/e/S-environment.mp4</t>
  </si>
  <si>
    <t>979058e5fb69c7ab03c96866754bdbe09c0a9238b13e991c8d8c9229589f05f9</t>
  </si>
  <si>
    <t>TWS0197</t>
  </si>
  <si>
    <t>TWS0197 | TWS0282</t>
  </si>
  <si>
    <t>更</t>
  </si>
  <si>
    <t>努力學習是為了有更好的將來</t>
  </si>
  <si>
    <t>學習/努力/目的/未來/更/棒</t>
  </si>
  <si>
    <t>https://twtsl.ccu.edu.tw/sentence/e/S-even_more.mp4</t>
  </si>
  <si>
    <t>c6237e0aa565802bc035b2c49fef96c98f913256780f59dcf5ce51c557f5396d</t>
  </si>
  <si>
    <t>TWS0198</t>
  </si>
  <si>
    <t>夜晚_A</t>
  </si>
  <si>
    <t>夏天的夜晚很熱</t>
  </si>
  <si>
    <t>夏天/夜晚/熱</t>
  </si>
  <si>
    <t>https://twtsl.ccu.edu.tw/sentence/e/S-evening.mp4</t>
  </si>
  <si>
    <t>09cf807c5f62614c8d3486d2aaff13057a4c9131d2be15c5eeca051669d1e847</t>
  </si>
  <si>
    <t>TWS0199</t>
  </si>
  <si>
    <t>今天晚上特別安靜</t>
  </si>
  <si>
    <t>今天/晚上/安靜</t>
  </si>
  <si>
    <t>https://twtsl.ccu.edu.tw/sentence/e/S-evening_2.mp4</t>
  </si>
  <si>
    <t>4f9633d4e8a022c7519c4fd4c8f01b3b9b313f96949a2203a88297b1104489a7</t>
  </si>
  <si>
    <t>TWS0200</t>
  </si>
  <si>
    <t>各</t>
  </si>
  <si>
    <t>每次出門都要帶錢包</t>
  </si>
  <si>
    <t>每/出/錢/皮包/放進/要</t>
  </si>
  <si>
    <t>https://twtsl.ccu.edu.tw/sentence/e/S-every.mp4</t>
  </si>
  <si>
    <t>448dcef42ce2acea0b2bc47666031dfa5c9847a632414040702c28d10858f4f9</t>
  </si>
  <si>
    <t>TWS0201</t>
  </si>
  <si>
    <t>每天</t>
  </si>
  <si>
    <t>每天游泳對身體很好</t>
  </si>
  <si>
    <t>每天/游泳/幫我/身體/好</t>
  </si>
  <si>
    <t>https://twtsl.ccu.edu.tw/sentence/e/S-everyday.mp4</t>
  </si>
  <si>
    <t>aac70ab3b2db478f39e29f61fa419d92c073a3a99fec0cde636447997364ba55</t>
  </si>
  <si>
    <t>TWS0202</t>
  </si>
  <si>
    <t>換_B</t>
  </si>
  <si>
    <t>出國旅行前，要記得換一些外幣</t>
  </si>
  <si>
    <t>國外/飛機/旅遊/國外/錢/換_B記得</t>
  </si>
  <si>
    <t>https://twtsl.ccu.edu.tw/sentence/e/S-exchange_b.mp4</t>
  </si>
  <si>
    <t>056331c0ef6230a6a86537bb085ea8ab1ed7491d2c86654454a98b35b0eb00b1</t>
  </si>
  <si>
    <t>TWS0203</t>
  </si>
  <si>
    <t>出</t>
  </si>
  <si>
    <t>媽媽不允許我出去玩</t>
  </si>
  <si>
    <t>我/去/出/玩/媽媽/允許/沒有</t>
  </si>
  <si>
    <t>https://twtsl.ccu.edu.tw/sentence/e/S-exit.mp4</t>
  </si>
  <si>
    <t>14d9ac9b9f6fd88a97172898c25d44e41976c9732404191e79f580ae807ada20</t>
  </si>
  <si>
    <t>TWS0204</t>
  </si>
  <si>
    <t>貴_A</t>
  </si>
  <si>
    <t>比較貴的東西品質一定比較好</t>
  </si>
  <si>
    <t>東西/貴/品/程度/一定/棒</t>
  </si>
  <si>
    <t>https://twtsl.ccu.edu.tw/sentence/e/S-expensive_a.mp4</t>
  </si>
  <si>
    <t>3e9e2aaca8609e1c240d978c317bf1850836a1474d710e62ca01b0dbb1c5e4fd</t>
  </si>
  <si>
    <t>TWS0205</t>
  </si>
  <si>
    <t>解釋</t>
  </si>
  <si>
    <t>他開始解釋遲到的理由了</t>
  </si>
  <si>
    <t>他/遲到/開始/解釋/什麼</t>
  </si>
  <si>
    <t>https://twtsl.ccu.edu.tw/sentence/e/S-explain.mp4</t>
  </si>
  <si>
    <t>8cbbccefb340ce420226b329b5b550ab091435c94afc7894e9e8abcc4f21574b</t>
  </si>
  <si>
    <t>TWS0206</t>
  </si>
  <si>
    <t>眼睛</t>
  </si>
  <si>
    <t>你的眼睛怎麼腫腫的</t>
  </si>
  <si>
    <t>你/眼睛/腫/什麼</t>
  </si>
  <si>
    <t>https://twtsl.ccu.edu.tw/sentence/e/S-eye.mp4</t>
  </si>
  <si>
    <t>e229d8ef1b4cea92f1c0af125d55e475869eff0a143bdd39e64fcdd8ebfaa9a7</t>
  </si>
  <si>
    <t>TWS0207</t>
  </si>
  <si>
    <t>面孔</t>
  </si>
  <si>
    <t>他的臉上有疤痕</t>
  </si>
  <si>
    <t>他/臉/疤痕</t>
  </si>
  <si>
    <t>https://twtsl.ccu.edu.tw/sentence/f/S-face.mp4</t>
  </si>
  <si>
    <t>4756426715467e7e957d2fc446612705f940a134da79a14f56307c1b6b9f54af</t>
  </si>
  <si>
    <t>TWS0208</t>
  </si>
  <si>
    <t>失敗_B</t>
  </si>
  <si>
    <t>昨天的棒球比賽，結果我們輸了</t>
  </si>
  <si>
    <t>昨天/棒球/比賽/結果/我們/輸</t>
  </si>
  <si>
    <t>https://twtsl.ccu.edu.tw/sentence/f/S-fail_b.mp4</t>
  </si>
  <si>
    <t>0abb40b41d26808f0f043ee92a53d26b5289b4cff494bcfc372cff247ada5e3d</t>
  </si>
  <si>
    <t>TWS0209</t>
  </si>
  <si>
    <t>我比賽輸了</t>
  </si>
  <si>
    <t>我/比賽/輸</t>
  </si>
  <si>
    <t>https://twtsl.ccu.edu.tw/sentence/f/S-fail_b_2.mp4</t>
  </si>
  <si>
    <t>ad5b45b16306b12c12d4187a8e2098653b1c26a8aafda45cd35cec9ccebc87c9</t>
  </si>
  <si>
    <t>TWS0210</t>
  </si>
  <si>
    <t>失約_A</t>
  </si>
  <si>
    <t>你最好不要失約</t>
  </si>
  <si>
    <t>你/失約/不要/記得</t>
  </si>
  <si>
    <t>https://twtsl.ccu.edu.tw/sentence/f/S-fail_to_keep_an_appointment.mp4</t>
  </si>
  <si>
    <t>8ffe69858e96e8e386e918ddce449522145e2729872859a5421b77068d94e4f4</t>
  </si>
  <si>
    <t>TWS0211</t>
  </si>
  <si>
    <t>假</t>
  </si>
  <si>
    <t>現在網路上有很多騙人的假新聞</t>
  </si>
  <si>
    <t>現在/網/路/新聞/這些/假/騙/很多</t>
  </si>
  <si>
    <t>https://twtsl.ccu.edu.tw/sentence/f/S-false.mp4</t>
  </si>
  <si>
    <t>edf310accc28332c0f06895d2608fbe46a2355abf1a96784c51bfe62cfcb2d99</t>
  </si>
  <si>
    <t>TWS0212</t>
  </si>
  <si>
    <t>家庭</t>
  </si>
  <si>
    <t>我來自三代同堂的大家庭</t>
  </si>
  <si>
    <t>我/來自/什麼/大/家庭/三/三代</t>
  </si>
  <si>
    <t>https://twtsl.ccu.edu.tw/sentence/f/S-family.mp4</t>
  </si>
  <si>
    <t>c3c3f5ee0cfe3901fd5b759687bc75630a3474fe13de16c05060ada4de4b1339</t>
  </si>
  <si>
    <t>TWS0213</t>
  </si>
  <si>
    <t>有名_N</t>
  </si>
  <si>
    <t>他爸爸是有名的演員</t>
  </si>
  <si>
    <t>他/爸爸/演員/有名</t>
  </si>
  <si>
    <t>https://twtsl.ccu.edu.tw/sentence/f/S-famous.mp4</t>
  </si>
  <si>
    <t>5e7e791d9668d2c5f9675af5cfad3fb8dc720e02c82c7b9207556ec84aafe0a7</t>
  </si>
  <si>
    <t>TWS0214</t>
  </si>
  <si>
    <t>農夫</t>
  </si>
  <si>
    <t>農夫用水管澆農田</t>
  </si>
  <si>
    <t>農/田/那/農夫/水/管子/澆水</t>
  </si>
  <si>
    <t>https://twtsl.ccu.edu.tw/sentence/f/S-farmer.mp4</t>
  </si>
  <si>
    <t>4824d238c2a52f9d3e68fd699b86930c8e70fb42dc12011542b26898468fa100</t>
  </si>
  <si>
    <t>TWS0215</t>
  </si>
  <si>
    <t>火速_S</t>
  </si>
  <si>
    <t>他跑得很快</t>
  </si>
  <si>
    <t>他/跑/直/快</t>
  </si>
  <si>
    <t>https://twtsl.ccu.edu.tw/sentence/f/S-fast_s.mp4</t>
  </si>
  <si>
    <t>48acb6680bb87d3ae65af0420647454bb9f2853e95aea626dc31a151ab5eb887</t>
  </si>
  <si>
    <t>TWS0216</t>
  </si>
  <si>
    <t>養_B</t>
  </si>
  <si>
    <t>養育孩子是很辛苦</t>
  </si>
  <si>
    <t>小孩/養/育/苦/累</t>
  </si>
  <si>
    <t>https://twtsl.ccu.edu.tw/sentence/f/S-feed_b.mp4</t>
  </si>
  <si>
    <t>061b7c7f424090a7da02fc43e1e74ef0c5291661828f80df08556cf1ef4dd9fb</t>
  </si>
  <si>
    <t>TWS0217</t>
  </si>
  <si>
    <t>女生</t>
  </si>
  <si>
    <t>男性與女性應該平等</t>
  </si>
  <si>
    <t>男/女性/平等/一樣/要</t>
  </si>
  <si>
    <t>https://twtsl.ccu.edu.tw/sentence/f/S-female.mp4</t>
  </si>
  <si>
    <t>01a28fb70cc5760929b4e3d3143429f8f43e3a24b70f995ac061bddccf56d812</t>
  </si>
  <si>
    <t>TWS0218</t>
  </si>
  <si>
    <t>一點</t>
  </si>
  <si>
    <t>他們倆工作忙，很少見面</t>
  </si>
  <si>
    <t>他倆/工作/忙/見面/少</t>
  </si>
  <si>
    <t>https://twtsl.ccu.edu.tw/sentence/f/S-few.mp4</t>
  </si>
  <si>
    <t>25963cf3299bd86e85efca48c3ad28823df11375f204d09e3fa3c29869f64c5d</t>
  </si>
  <si>
    <t>TWS0219</t>
  </si>
  <si>
    <t>這裡的水果很少</t>
  </si>
  <si>
    <t>這/水果/這些(種類)/少</t>
  </si>
  <si>
    <t>https://twtsl.ccu.edu.tw/sentence/f/S-few_2.mp4</t>
  </si>
  <si>
    <t>ee310140623a4391f681010b84ea73ec62ce85c51bbfffb320e8a90fcaf9187d</t>
  </si>
  <si>
    <t>TWS0220</t>
  </si>
  <si>
    <t>我買了一點麵包</t>
  </si>
  <si>
    <t>麵包/我/買/過了/一點</t>
  </si>
  <si>
    <t>https://twtsl.ccu.edu.tw/sentence/f/S-few_3.mp4</t>
  </si>
  <si>
    <t>e08217645b05f52403b57b73105e6db1adb9ac1848af02ff8d240a08f2ec13c9</t>
  </si>
  <si>
    <t>TWS0221</t>
  </si>
  <si>
    <t>完了</t>
  </si>
  <si>
    <t>表演結束之後來找我</t>
  </si>
  <si>
    <t>表演/結束/完了/你/來/找/我</t>
  </si>
  <si>
    <t>https://twtsl.ccu.edu.tw/sentence/f/S-finish.mp4</t>
  </si>
  <si>
    <t>c4510c5c1dd74196c6c301e2f8c618c9a6d5b12cc4dc8776274422d0836f19e0</t>
  </si>
  <si>
    <t>TWS0222</t>
  </si>
  <si>
    <t>我可以做完</t>
  </si>
  <si>
    <t>做/結束/我/可以</t>
  </si>
  <si>
    <t>https://twtsl.ccu.edu.tw/sentence/f/S-finish_2.mp4</t>
  </si>
  <si>
    <t>18d13a227d53714a75cfad6bfca8fab9fde5995fb9dc7cf816967a1dbf04049d</t>
  </si>
  <si>
    <t>TWS0223</t>
  </si>
  <si>
    <t>她剛剛完成了博士論文</t>
  </si>
  <si>
    <t>這/女生/博士/論文/剛剛/寫/結束</t>
  </si>
  <si>
    <t>https://twtsl.ccu.edu.tw/sentence/f/S-finish_3.mp4</t>
  </si>
  <si>
    <t>50d1f99ece5686b1bb1b3626909cfe6e0d06454d79526c0c904ae0e2c1d45974</t>
  </si>
  <si>
    <t>TWS0224</t>
  </si>
  <si>
    <t>火</t>
  </si>
  <si>
    <t>澳洲的一片森林被大火燒掉了</t>
  </si>
  <si>
    <t>澳洲/森林/火/乾淨</t>
  </si>
  <si>
    <t>https://twtsl.ccu.edu.tw/sentence/f/S-fire.mp4</t>
  </si>
  <si>
    <t>de8f8b74608ba61698548d116b5ad5c8fc2ffee609d30b9ba5cbfc5361c2a3df</t>
  </si>
  <si>
    <t>TWS0225</t>
  </si>
  <si>
    <t>花</t>
  </si>
  <si>
    <t>日本的櫻花全都開花了</t>
  </si>
  <si>
    <t>日本/變/(到處)/開花</t>
  </si>
  <si>
    <t>https://twtsl.ccu.edu.tw/sentence/f/S-flower.mp4</t>
  </si>
  <si>
    <t>a81a2c7d3c7bc6854c097dc79a30105f3c2a03e2d4f4e6fa4475c3ad69a20f4f</t>
  </si>
  <si>
    <t>TWS0226</t>
  </si>
  <si>
    <t>因為</t>
  </si>
  <si>
    <t>工作還沒完成，繼續把它做完</t>
  </si>
  <si>
    <t>工作/完/還沒/再/繼續/工作/完</t>
  </si>
  <si>
    <t>https://twtsl.ccu.edu.tw/sentence/f/S-for.mp4</t>
  </si>
  <si>
    <t>c6ebd0ebb0fa64084cdd6907b9ba8874bc87e63e9a7d7206e69654eac022055c</t>
  </si>
  <si>
    <t>TWS0227</t>
  </si>
  <si>
    <t>連續的大雨使得多處山崩</t>
  </si>
  <si>
    <t>下雨/連/那/山/山崩</t>
  </si>
  <si>
    <t>https://twtsl.ccu.edu.tw/sentence/f/S-for_2.mp4</t>
  </si>
  <si>
    <t>1e93e989637c2627d3b10553da81d0053594d368e9d5d7ff1763ce08bb5000b3</t>
  </si>
  <si>
    <t>TWS0228</t>
  </si>
  <si>
    <t>外國</t>
  </si>
  <si>
    <t>他對外國的生活充滿嚮往</t>
  </si>
  <si>
    <t>他/外國/活動/情形/他/渴望/希望</t>
  </si>
  <si>
    <t>https://twtsl.ccu.edu.tw/sentence/f/S-foreign_country.mp4</t>
  </si>
  <si>
    <t>53c3a915f99e68a12d5a65dfb56b1c3aab99b914fefc700cde03c59906c417ac</t>
  </si>
  <si>
    <t>TWS0229</t>
  </si>
  <si>
    <t>森林</t>
  </si>
  <si>
    <t>我們要保護森林</t>
  </si>
  <si>
    <t>森林/我們/保護/要</t>
  </si>
  <si>
    <t>https://twtsl.ccu.edu.tw/sentence/f/S-forest.mp4</t>
  </si>
  <si>
    <t>cd0f16d818ff80e36a63ce5021086fd05a2a396a4fdd8c36a0b3ec6214944626</t>
  </si>
  <si>
    <t>TWS0230</t>
  </si>
  <si>
    <t>忘</t>
  </si>
  <si>
    <t>她忘了帶錢包出門</t>
  </si>
  <si>
    <t>他/出/錢/皮包/他/忘記/帶</t>
  </si>
  <si>
    <t>https://twtsl.ccu.edu.tw/sentence/f/S-forget.mp4</t>
  </si>
  <si>
    <t>0e6957045ab3d5760d2d6b6806ccb06c91b1a1fbfa5f6c7329f80996be7861be</t>
  </si>
  <si>
    <t>TWS0231</t>
  </si>
  <si>
    <t>香</t>
  </si>
  <si>
    <t>這裡有個怪味道</t>
  </si>
  <si>
    <t>這/聞/奇怪/聞/奇怪</t>
  </si>
  <si>
    <t>https://twtsl.ccu.edu.tw/sentence/f/S-fragrant.mp4</t>
  </si>
  <si>
    <t>eb1b4362d6736ef16feeae6644566207350f0cdf490c9c755105e374dc8b00e4</t>
  </si>
  <si>
    <t>TWS0232</t>
  </si>
  <si>
    <t>這花聞起來好香</t>
  </si>
  <si>
    <t>這/花/這/聞/香</t>
  </si>
  <si>
    <t>https://twtsl.ccu.edu.tw/sentence/f/S-fragrant_2.mp4</t>
  </si>
  <si>
    <t>b07aa101204b628344db3fcfe224af4a487cff3d66e47364d902f5fad86d0151</t>
  </si>
  <si>
    <t>TWS0233</t>
  </si>
  <si>
    <t>這杯咖啡聞起來很香</t>
  </si>
  <si>
    <t>這/咖啡/這/聞/香</t>
  </si>
  <si>
    <t>https://twtsl.ccu.edu.tw/sentence/f/S-fragrant_3.mp4</t>
  </si>
  <si>
    <t>3eefbe6b40a59f176770ce25974e12f749cc5b2029bc3f4a2443676ccca66787</t>
  </si>
  <si>
    <t>TWS0234</t>
  </si>
  <si>
    <t>朋友</t>
  </si>
  <si>
    <t>他真的是我朋友 ( 他是一個真誠的朋友)</t>
  </si>
  <si>
    <t>他/我/朋友/真/是</t>
  </si>
  <si>
    <t>https://twtsl.ccu.edu.tw/sentence/f/S-friend.mp4</t>
  </si>
  <si>
    <t>c1a9d9d6163a5421858c45ae03d5c32379dd926fb3e9775b8a2f4c6a575547fc</t>
  </si>
  <si>
    <t>TWS0235</t>
  </si>
  <si>
    <t>我的朋友在日本</t>
  </si>
  <si>
    <t>我/朋友/那/日本/那</t>
  </si>
  <si>
    <t>https://twtsl.ccu.edu.tw/sentence/f/S-friend_2.mp4</t>
  </si>
  <si>
    <t>cc679804999456c6bd05fa82ed819879ac6b3b6e22e05ef66f8d30201854ee3c</t>
  </si>
  <si>
    <t>TWS0236</t>
  </si>
  <si>
    <t>滿</t>
  </si>
  <si>
    <t>所有座位都滿了</t>
  </si>
  <si>
    <t>座位/全部/滿</t>
  </si>
  <si>
    <t>https://twtsl.ccu.edu.tw/sentence/f/S-full_a.mp4</t>
  </si>
  <si>
    <t>69581db92133979e17e0b72c53eda3bb06c34a0e791de38b2310ded49117634f</t>
  </si>
  <si>
    <t>TWS0237</t>
  </si>
  <si>
    <t>飽</t>
  </si>
  <si>
    <t>我吃飽了</t>
  </si>
  <si>
    <t>我/吃飯/飽</t>
  </si>
  <si>
    <t>https://twtsl.ccu.edu.tw/sentence/f/S-full_b.mp4</t>
  </si>
  <si>
    <t>0868dca6710da3f7402caf8d118c0541a3b214930ba67fadb4151dd6980b66b3</t>
  </si>
  <si>
    <t>TWS0238</t>
  </si>
  <si>
    <t>以後_B</t>
  </si>
  <si>
    <t>未來移民到外星球是有可能的</t>
  </si>
  <si>
    <t>未來/星球/我/移居/可以/能/有</t>
  </si>
  <si>
    <t>https://twtsl.ccu.edu.tw/sentence/f/S-future_b.mp4</t>
  </si>
  <si>
    <t>458c70158b5404a1aaf58c5eb74a85d4e10c6eb5768eafde45b737ddad65084c</t>
  </si>
  <si>
    <t>TWS0239</t>
  </si>
  <si>
    <t>眼鏡</t>
  </si>
  <si>
    <t>我的眼鏡斷掉了</t>
  </si>
  <si>
    <t>我/眼鏡/壞掉</t>
  </si>
  <si>
    <t>https://twtsl.ccu.edu.tw/sentence/g/S-glasses.mp4</t>
  </si>
  <si>
    <t>b5257f2031c9266a46d577032f7de0b175998c9aa2dc22c26164c2c27c3f38e4</t>
  </si>
  <si>
    <t>TWS0240</t>
  </si>
  <si>
    <t>去_B</t>
  </si>
  <si>
    <t>他想去英國旅行</t>
  </si>
  <si>
    <t>他/想/去/英國/旅行</t>
  </si>
  <si>
    <t>https://twtsl.ccu.edu.tw/sentence/g/S-go_b.mp4</t>
  </si>
  <si>
    <t>d6835acb6d40527cf484863e9265b99c3936dd559e37f8a7b6f0b5ad3c671ccb</t>
  </si>
  <si>
    <t>TWS0241</t>
  </si>
  <si>
    <t>爸爸帶我去高雄玩</t>
  </si>
  <si>
    <t>高雄(地名)/我/爸爸/帶/去</t>
  </si>
  <si>
    <t>https://twtsl.ccu.edu.tw/sentence/g/S-go_b_2.mp4</t>
  </si>
  <si>
    <t>c37c7422a88fc9102160a0e153d404061d2fbe9076fe14ecd844c702d2744822</t>
  </si>
  <si>
    <t>TWS0242</t>
  </si>
  <si>
    <t>下班</t>
  </si>
  <si>
    <t>下班之後要去健身房運動</t>
  </si>
  <si>
    <t>下班/去/健身房/各種運動</t>
  </si>
  <si>
    <t>https://twtsl.ccu.edu.tw/sentence/g/S-go_off_work.mp4</t>
  </si>
  <si>
    <t>5374661f77b0b7366f7f25c507572773dfe8b35d7c143a80665f073ab4a3e2dd</t>
  </si>
  <si>
    <t>TWS0243</t>
  </si>
  <si>
    <t>目的</t>
  </si>
  <si>
    <t>他唸書的目的很明確</t>
  </si>
  <si>
    <t>他/讀書/目的/清楚/很</t>
  </si>
  <si>
    <t>https://twtsl.ccu.edu.tw/sentence/g/S-goal.mp4</t>
  </si>
  <si>
    <t>e4cd28f3088c0fbe355beeaf529677bc562261a8c3dc15d8d51457d785f3a9fd</t>
  </si>
  <si>
    <t>TWS0244</t>
  </si>
  <si>
    <t>山羊</t>
  </si>
  <si>
    <t>那隻羊是黑色的</t>
  </si>
  <si>
    <t>那/羊/那/黑</t>
  </si>
  <si>
    <t>https://twtsl.ccu.edu.tw/sentence/g/S-goat.mp4</t>
  </si>
  <si>
    <t>66e53f1096693e249682ea4198c57049f9f0416bb424faddccf79871e1565529</t>
  </si>
  <si>
    <t>TWS0245</t>
  </si>
  <si>
    <t>戒指</t>
  </si>
  <si>
    <t>金是一種貴重金屬</t>
  </si>
  <si>
    <t>鐵/金/種類/其中/一/金/貴</t>
  </si>
  <si>
    <t>https://twtsl.ccu.edu.tw/sentence/g/S-gold.mp4</t>
  </si>
  <si>
    <t>0b4121356f012f02c17b33a76bf8e8d7352291ae5f34ccdb7175a42ae9c07173</t>
  </si>
  <si>
    <t>TWS0246</t>
  </si>
  <si>
    <t>好_A</t>
  </si>
  <si>
    <t>早安，你好</t>
  </si>
  <si>
    <t>早/安靜/好</t>
  </si>
  <si>
    <t>https://twtsl.ccu.edu.tw/sentence/g/S-good_a.mp4</t>
  </si>
  <si>
    <t>1acc4facd65d4690cd72117716ff0fd5ac684b2b078c5ff0cade417f8c5c0752</t>
  </si>
  <si>
    <t>TWS0247</t>
  </si>
  <si>
    <t>畢業</t>
  </si>
  <si>
    <t>我今年六月高中畢業</t>
  </si>
  <si>
    <t>我/今年/六月/高三/畢業</t>
  </si>
  <si>
    <t>https://twtsl.ccu.edu.tw/sentence/g/S-graduate.mp4</t>
  </si>
  <si>
    <t>fc3d0916a071f2784d4bca9b34972c1db0302ca023dfd1005c61bf2df0fa5f6d</t>
  </si>
  <si>
    <t>TWS0248</t>
  </si>
  <si>
    <t>祖父</t>
  </si>
  <si>
    <t>爺爺喜歡爬山</t>
  </si>
  <si>
    <t>爬山/爺爺/喜歡/他</t>
  </si>
  <si>
    <t>https://twtsl.ccu.edu.tw/sentence/g/S-grandfather.mp4</t>
  </si>
  <si>
    <t>3000c4d11d8c83e8b9adda17a0fcca8b99b049c9826d328f2e1aa4faf7bec26a</t>
  </si>
  <si>
    <t>TWS0249</t>
  </si>
  <si>
    <t>奶奶</t>
  </si>
  <si>
    <t>這是奶奶最愛的佛珠</t>
  </si>
  <si>
    <t>佛珠/這/奶奶/很/喜歡/愛/這</t>
  </si>
  <si>
    <t>https://twtsl.ccu.edu.tw/sentence/g/S-grandmother.mp4</t>
  </si>
  <si>
    <t>63d2075f2abf47bcc7b60bad230019a79231399ac18b0be23aba22cec51e0d05</t>
  </si>
  <si>
    <t>TWS0250</t>
  </si>
  <si>
    <t>葡萄</t>
  </si>
  <si>
    <t>葡萄不是長在樹上</t>
  </si>
  <si>
    <t>葡萄/樹/那/掛樹上/那/不是</t>
  </si>
  <si>
    <t>https://twtsl.ccu.edu.tw/sentence/g/S-grape.mp4</t>
  </si>
  <si>
    <t>0efc3382c3414e319ba37c74927feb68edb770edfd30224e2c717574413ee4f2</t>
  </si>
  <si>
    <t>TWS0251</t>
  </si>
  <si>
    <t>綠</t>
  </si>
  <si>
    <t>多看綠色植物對眼睛有益</t>
  </si>
  <si>
    <t>綠/樹/眼睛/見/幫我/棒</t>
  </si>
  <si>
    <t>https://twtsl.ccu.edu.tw/sentence/g/S-green.mp4</t>
  </si>
  <si>
    <t>4ea5a51e352d669b10dcf34df560f686ca08a725e26e3da9bd5c8c1abaa6b5fd</t>
  </si>
  <si>
    <t>TWS0252</t>
  </si>
  <si>
    <t>長大</t>
  </si>
  <si>
    <t>我長大以後想當老師</t>
  </si>
  <si>
    <t>長大/以後/想/做/老師</t>
  </si>
  <si>
    <t>https://twtsl.ccu.edu.tw/sentence/g/S-grow_up.mp4</t>
  </si>
  <si>
    <t>b2b34eafb28006982e11920382db379541cbc60df8f0aa74e48c5d62fa18688b</t>
  </si>
  <si>
    <t>TWS0253</t>
  </si>
  <si>
    <t>等_B</t>
  </si>
  <si>
    <t>你在這裡等我</t>
  </si>
  <si>
    <t>你/這/等</t>
  </si>
  <si>
    <t>https://twtsl.ccu.edu.tw/sentence/g/S-guard_a.mp4</t>
  </si>
  <si>
    <t>0ab13733a8efc87f0c42bf7a7d7709be76d1aa92ae6c72496e2b96190adfcf0f</t>
  </si>
  <si>
    <t>TWS0254</t>
  </si>
  <si>
    <t>習慣_N</t>
  </si>
  <si>
    <t>他有賴床的習慣</t>
  </si>
  <si>
    <t>他/習慣/什麼/床/睡</t>
  </si>
  <si>
    <t>https://twtsl.ccu.edu.tw/sentence/h/S-habit_n.mp4</t>
  </si>
  <si>
    <t>e64f0dccc022244ece0c0a39f1fbc4256fe70ebf247781bef8f0202ee189e13e</t>
  </si>
  <si>
    <t>TWS0255</t>
  </si>
  <si>
    <t>每個國家都有他們的習慣</t>
  </si>
  <si>
    <t>每/國家/地方/有/習慣/(四處)有</t>
  </si>
  <si>
    <t>https://twtsl.ccu.edu.tw/sentence/h/S-habit_n_2.mp4</t>
  </si>
  <si>
    <t>3041ef95864268903dce4a08176a6e1958d8803cc844fb19c85cf00de1d0130c</t>
  </si>
  <si>
    <t>TWS0256</t>
  </si>
  <si>
    <t>髮</t>
  </si>
  <si>
    <t>他把頭髮染成金色</t>
  </si>
  <si>
    <t>他/頭髮/顏色/變/金/色_A</t>
  </si>
  <si>
    <t>https://twtsl.ccu.edu.tw/sentence/h/S-hair_a.mp4</t>
  </si>
  <si>
    <t>c6296cdf9c4f01fafece1445180d5226f7d875fafbd113e6b858ec55092af3eb</t>
  </si>
  <si>
    <t>TWS0257</t>
  </si>
  <si>
    <t>漢堡</t>
  </si>
  <si>
    <t>你喜歡吃漢堡嗎</t>
  </si>
  <si>
    <t>漢堡/吃/你/喜歡</t>
  </si>
  <si>
    <t>https://twtsl.ccu.edu.tw/sentence/h/S-hamburger.mp4</t>
  </si>
  <si>
    <t>52a3437435f0c23d3152e05a1e9d3a695f303d335dd45867f5c9d0362813920a</t>
  </si>
  <si>
    <t>TWS0258</t>
  </si>
  <si>
    <t>英俊</t>
  </si>
  <si>
    <t>他認真的樣子很帥</t>
  </si>
  <si>
    <t>他/認真/臉/認真/英俊/棒</t>
  </si>
  <si>
    <t>https://twtsl.ccu.edu.tw/sentence/h/S-handsome.mp4</t>
  </si>
  <si>
    <t>da5754722289dfa0f8daf736189c0db12475f8c6e029f4499cb296da9ef953a0</t>
  </si>
  <si>
    <t>TWS0259</t>
  </si>
  <si>
    <t>快樂</t>
  </si>
  <si>
    <t>我很快樂</t>
  </si>
  <si>
    <t>我/快樂</t>
  </si>
  <si>
    <t>https://twtsl.ccu.edu.tw/sentence/h/S-happy.mp4</t>
  </si>
  <si>
    <t>8fdcb38bd01123f8424ae1e5377a7e3a38fe4276aea37edb9eea341298aa489e</t>
  </si>
  <si>
    <t>TWS0260</t>
  </si>
  <si>
    <t>沒有_A</t>
  </si>
  <si>
    <t>我沒有錢</t>
  </si>
  <si>
    <t>我/錢/沒有</t>
  </si>
  <si>
    <t>https://twtsl.ccu.edu.tw/sentence/h/S-havent.mp4</t>
  </si>
  <si>
    <t>0d40645c1231154c29fc65fb0809560204d56d098be0670e18da8d25834dd567</t>
  </si>
  <si>
    <t>TWS0261</t>
  </si>
  <si>
    <t>校長</t>
  </si>
  <si>
    <t>校長是個年輕人</t>
  </si>
  <si>
    <t>校長/他/年輕人/他</t>
  </si>
  <si>
    <t>https://twtsl.ccu.edu.tw/sentence/h/S-head_of_school.mp4</t>
  </si>
  <si>
    <t>ab94f7388a639774416c4b227a108f9faa5c7a399bc25b86bfb02703cf129533</t>
  </si>
  <si>
    <t>TWS0262</t>
  </si>
  <si>
    <t>健康</t>
  </si>
  <si>
    <t>多運動可以保持健康</t>
  </si>
  <si>
    <t>運動/多/身體/健康/依然</t>
  </si>
  <si>
    <t>https://twtsl.ccu.edu.tw/sentence/h/S-health_a.mp4</t>
  </si>
  <si>
    <t>2c42da7f8034bfabe9458ccc5f6eee1e4a0ab81c59a36fa48f2f9242907311ce</t>
  </si>
  <si>
    <t>TWS0263</t>
  </si>
  <si>
    <t>一天一個蘋果，身體健康，不用去看醫生</t>
  </si>
  <si>
    <t>一天/蘋果/一/顆/對/身體/健康/去/看/醫生/不用</t>
  </si>
  <si>
    <t>https://twtsl.ccu.edu.tw/sentence/h/S-health_a_2.mp4</t>
  </si>
  <si>
    <t>89fac5541467f50482b8ca930a698e7aecd4b94b416ef8daac4d0797e2af688a</t>
  </si>
  <si>
    <t>TWS0264</t>
  </si>
  <si>
    <t>聽</t>
  </si>
  <si>
    <t>聽音樂是休閒之一</t>
  </si>
  <si>
    <t>休息/消遣/什麼/這/聽/歌/是</t>
  </si>
  <si>
    <t>https://twtsl.ccu.edu.tw/sentence/h/S-hear_b.mp4</t>
  </si>
  <si>
    <t>6cdff5e595761591d2e856327a13ba165fcaa4a5829fdb5feb5bf62f32bed559</t>
  </si>
  <si>
    <t>TWS0265</t>
  </si>
  <si>
    <t>心_B</t>
  </si>
  <si>
    <t>我的朋友心臟不好</t>
  </si>
  <si>
    <t>我/朋友/心/心跳/不好</t>
  </si>
  <si>
    <t>https://twtsl.ccu.edu.tw/sentence/h/S-heart_b.mp4</t>
  </si>
  <si>
    <t>5cb3310a13fc19cc8a8ecff81fd01a416f076220aef426c0074bf76c25a430f4</t>
  </si>
  <si>
    <t>TWS0266</t>
  </si>
  <si>
    <t>重</t>
  </si>
  <si>
    <t>女人的體重是秘密</t>
  </si>
  <si>
    <t>女性團體/體重/秘密</t>
  </si>
  <si>
    <t>https://twtsl.ccu.edu.tw/sentence/h/S-heavy.mp4</t>
  </si>
  <si>
    <t>16710a4bb94eb095c01fe7ea60810fbb95a5171a8abd82adfa6bcac1bb790ffc</t>
  </si>
  <si>
    <t>TWS0267</t>
  </si>
  <si>
    <t>幫_N</t>
  </si>
  <si>
    <t>請幫我拿東西過來</t>
  </si>
  <si>
    <t>東西/幫我/拿</t>
  </si>
  <si>
    <t>https://twtsl.ccu.edu.tw/sentence/h/S-help_n.mp4</t>
  </si>
  <si>
    <t>db3f643259344b91935933d16c94893e8b12dedbfb10f596dbcf73bcaee13c5d</t>
  </si>
  <si>
    <t>TWS0268</t>
  </si>
  <si>
    <t>屬於他</t>
  </si>
  <si>
    <t>他的狗被車撞了，他著急得哭了</t>
  </si>
  <si>
    <t>他/屬於他/狗/被車撞/他/著急/哭</t>
  </si>
  <si>
    <t>https://twtsl.ccu.edu.tw/sentence/h/S-his_or_her.mp4</t>
  </si>
  <si>
    <t>33c4279b2284736bee955aa56355caea92f4bfc378c040fbfd7afeb0d9a97099</t>
  </si>
  <si>
    <t>TWS0269</t>
  </si>
  <si>
    <t>希望</t>
  </si>
  <si>
    <t>我以後希望當老師</t>
  </si>
  <si>
    <t>我/以後/希望/做/老師</t>
  </si>
  <si>
    <t>https://twtsl.ccu.edu.tw/sentence/h/S-hope.mp4</t>
  </si>
  <si>
    <t>d4330e1b2c793ed6617f39f0eaacdbc7a5a718a0b424190a883b22d51301b03e</t>
  </si>
  <si>
    <t>TWS0270</t>
  </si>
  <si>
    <t>希望明天是晴天</t>
  </si>
  <si>
    <t>希望/明天/晴天</t>
  </si>
  <si>
    <t>https://twtsl.ccu.edu.tw/sentence/h/S-hope_2.mp4</t>
  </si>
  <si>
    <t>4a131ceba83cbe69378c4a38f4882c9f0efb69693eb407ad3006374ee4b559c4</t>
  </si>
  <si>
    <t>TWS0271</t>
  </si>
  <si>
    <t>馬</t>
  </si>
  <si>
    <t>國王有很多匹馬</t>
  </si>
  <si>
    <t>國王/那/馬/數量/多</t>
  </si>
  <si>
    <t>https://twtsl.ccu.edu.tw/sentence/h/S-horse.mp4</t>
  </si>
  <si>
    <t>7959bc46bae4552848caaf433ba0808019e8f1846797c76d052dff228eb5d861</t>
  </si>
  <si>
    <t>TWS0272</t>
  </si>
  <si>
    <t>醫院_B</t>
  </si>
  <si>
    <t>她昨天離開醫院</t>
  </si>
  <si>
    <t>醫院/她/昨天/離開醫院</t>
  </si>
  <si>
    <t>https://twtsl.ccu.edu.tw/sentence/h/S-hospital_b.mp4</t>
  </si>
  <si>
    <t>4ef51d940d59478db467b7cd05ec266f5873200ac87503a1ff829caf955bf63b</t>
  </si>
  <si>
    <t>TWS0273</t>
  </si>
  <si>
    <t>汗</t>
  </si>
  <si>
    <t>今天天氣很熱</t>
  </si>
  <si>
    <t>今天/天氣/熱</t>
  </si>
  <si>
    <t>https://twtsl.ccu.edu.tw/sentence/h/S-hot.mp4</t>
  </si>
  <si>
    <t>2cd11166b461944dcccbf7bfc1369d15e16d4468b73c1d25e80fd15d4fe79812</t>
  </si>
  <si>
    <t>TWS0274</t>
  </si>
  <si>
    <t>夏天蚊蟲很多</t>
  </si>
  <si>
    <t>夏天/夏天/蚊子/多</t>
  </si>
  <si>
    <t>https://twtsl.ccu.edu.tw/sentence/h/S-hot_2.mp4</t>
  </si>
  <si>
    <t>aeb9418963202a5bcc2739265c83470abc6a33e0c9b9814d947394d19530dd1f</t>
  </si>
  <si>
    <t>TWS0275</t>
  </si>
  <si>
    <t>屋子</t>
  </si>
  <si>
    <t>這間屋子很漂亮</t>
  </si>
  <si>
    <t>這/屋子/漂亮</t>
  </si>
  <si>
    <t>https://twtsl.ccu.edu.tw/sentence/h/S-house_a.mp4</t>
  </si>
  <si>
    <t>e6e136fcd49172d38a29c479ca7513fdecfc2d32d5cc2769243b22d01e8dcb0f</t>
  </si>
  <si>
    <t>TWS0276</t>
  </si>
  <si>
    <t>年紀</t>
  </si>
  <si>
    <t>姊姊已經30歲了</t>
  </si>
  <si>
    <t>姊姊/年紀/30歲/超過</t>
  </si>
  <si>
    <t>https://twtsl.ccu.edu.tw/sentence/h/S-how_old.mp4</t>
  </si>
  <si>
    <t>ca62c9592727a1628326d13a1e1a3842dfa1fba2efd385ecc37a2c877f10710a</t>
  </si>
  <si>
    <t>TWS0277</t>
  </si>
  <si>
    <t>他年紀大了身體不好</t>
  </si>
  <si>
    <t>他/年紀/老/身體/不好</t>
  </si>
  <si>
    <t>https://twtsl.ccu.edu.tw/sentence/h/S-how_old_2.mp4</t>
  </si>
  <si>
    <t>c7e1a6c535a99852cc7facd88a04ef7cc7b35b64aad4595f5829d7ab08a2082b</t>
  </si>
  <si>
    <t>TWS0278</t>
  </si>
  <si>
    <t>我_B</t>
  </si>
  <si>
    <t>請你來我家玩</t>
  </si>
  <si>
    <t>我/家/來/玩</t>
  </si>
  <si>
    <t>https://twtsl.ccu.edu.tw/sentence/i/S-i_b.mp4</t>
  </si>
  <si>
    <t>7dbe36f6c2d0fa40d208d5640d18560f7cbf40b7b6ea7ede04bf2c0059859fe9</t>
  </si>
  <si>
    <t>TWS0279</t>
  </si>
  <si>
    <t>我是學生</t>
  </si>
  <si>
    <t>我/學生</t>
  </si>
  <si>
    <t>https://twtsl.ccu.edu.tw/sentence/i/S-i_b_2.mp4</t>
  </si>
  <si>
    <t>a24316adea5f1ad369b91d1851a085377c23b6f5e9054e2341c5c122e491a353</t>
  </si>
  <si>
    <t>TWS0280</t>
  </si>
  <si>
    <t>閒閒沒事</t>
  </si>
  <si>
    <t>他每天游手好閒，大家都輕視他</t>
  </si>
  <si>
    <t>他/每天/閒閒沒事/休閒/玩/他們/見他/輕視</t>
  </si>
  <si>
    <t>https://twtsl.ccu.edu.tw/sentence/i/S-idle.mp4</t>
  </si>
  <si>
    <t>7dd35e7d06e6c92120603960bff1f366e2ba534c63d6be3973958f73f51f16b9</t>
  </si>
  <si>
    <t>TWS0281</t>
  </si>
  <si>
    <t>如果</t>
  </si>
  <si>
    <t>如果你不出席會議，記得要跟我說</t>
  </si>
  <si>
    <t>如果/你/會議/參加/不要/你/記得/告訴我</t>
  </si>
  <si>
    <t>https://twtsl.ccu.edu.tw/sentence/i/S-if.mp4</t>
  </si>
  <si>
    <t>4ca0e21bd24995ecdc4fcb0728b34623e850d3d17b0827deb930556f5a400faf</t>
  </si>
  <si>
    <t>TWS0283</t>
  </si>
  <si>
    <t>模仿</t>
  </si>
  <si>
    <t>他正努力學習如何當爸爸</t>
  </si>
  <si>
    <t>他/努力/正/學習/什麼/如何/做/爸爸</t>
  </si>
  <si>
    <t>https://twtsl.ccu.edu.tw/sentence/i/S-imitate_2.mp4</t>
  </si>
  <si>
    <t>d1ea4914f14e174cb6a3d08683764ee49b0edbeee9f6dcb8771840d71d9f166e</t>
  </si>
  <si>
    <t>TWS0284</t>
  </si>
  <si>
    <t>不久</t>
  </si>
  <si>
    <t>爸爸催促我立刻上床睡覺</t>
  </si>
  <si>
    <t>爸爸/催/立刻/去/睡覺</t>
  </si>
  <si>
    <t>https://twtsl.ccu.edu.tw/sentence/i/S-immediately.mp4</t>
  </si>
  <si>
    <t>a1dc2882207f98f6175be70412b2cd9ca1baf65473cd3bc979df1fd96d1f7785</t>
  </si>
  <si>
    <t>TWS0285</t>
  </si>
  <si>
    <t>爸爸要我馬上回家</t>
  </si>
  <si>
    <t>爸爸/告訴我/馬上/回家/馬上</t>
  </si>
  <si>
    <t>https://twtsl.ccu.edu.tw/sentence/i/S-immediately_2.mp4</t>
  </si>
  <si>
    <t>c1dbb53e3deaf5d4a9fb0e7bdaa5263cfa6556e506be6ff66c5ac57e49d79e12</t>
  </si>
  <si>
    <t>TWS0286</t>
  </si>
  <si>
    <t>也許</t>
  </si>
  <si>
    <t>也許明天會下雨</t>
  </si>
  <si>
    <t>明天/下雨/也許/會</t>
  </si>
  <si>
    <t>https://twtsl.ccu.edu.tw/sentence/i/S-indefinite.mp4</t>
  </si>
  <si>
    <t>86a4a25023be843e05b151416be80310f61d6d77db5d2e99d06a87ab861379db</t>
  </si>
  <si>
    <t>TWS0287</t>
  </si>
  <si>
    <t>干涉</t>
  </si>
  <si>
    <t>中場休息三十分鐘</t>
  </si>
  <si>
    <t>介入(中間)/休息/三十分鐘</t>
  </si>
  <si>
    <t>https://twtsl.ccu.edu.tw/sentence/i/S-interfere.mp4</t>
  </si>
  <si>
    <t>80826de9599b36b2effa170524e07162d9516ef3f1c3d7b984d2fa70263b3919</t>
  </si>
  <si>
    <t>TWS0288</t>
  </si>
  <si>
    <t>介紹</t>
  </si>
  <si>
    <t>請自我介紹一下</t>
  </si>
  <si>
    <t>(叫人)/我/自己/介紹</t>
  </si>
  <si>
    <t>https://twtsl.ccu.edu.tw/sentence/i/S-introduce.mp4</t>
  </si>
  <si>
    <t>80db0dce3ec2bdec82f698d2d4f693f44af14a0b0c123a03afea385bcc752e76</t>
  </si>
  <si>
    <t>TWS0289</t>
  </si>
  <si>
    <t>調查</t>
  </si>
  <si>
    <t>到台灣旅行，行李要經過檢查</t>
  </si>
  <si>
    <t>台灣/旅遊/飛到/行李/檢查/翻箱倒櫃/要</t>
  </si>
  <si>
    <t>https://twtsl.ccu.edu.tw/sentence/i/S-investigate.mp4</t>
  </si>
  <si>
    <t>a3eb3f73b766a250f2c63ee2ab3e1177bc96a291b3c0ea2480006be63edf6705</t>
  </si>
  <si>
    <t>TWS0290</t>
  </si>
  <si>
    <t>請客</t>
  </si>
  <si>
    <t>我答應他的邀請</t>
  </si>
  <si>
    <t>他/邀請我/我/答應</t>
  </si>
  <si>
    <t>https://twtsl.ccu.edu.tw/sentence/i/S-invite.mp4</t>
  </si>
  <si>
    <t>e7bdf7dd0e9e267a9923bc0d6436d79681980e7c4cae55f59e0f18356b404c62</t>
  </si>
  <si>
    <t>TWS0291</t>
  </si>
  <si>
    <t>跳</t>
  </si>
  <si>
    <t>貓咪跳上了屋頂</t>
  </si>
  <si>
    <t>屋子/屋頂/貓/跳到屋頂</t>
  </si>
  <si>
    <t>https://twtsl.ccu.edu.tw/sentence/j/S-jump.mp4</t>
  </si>
  <si>
    <t>b7b4e6f611546a367a6d701ec66156cc0906f22fefe2165e7e0253423a19381c</t>
  </si>
  <si>
    <t>TWS0292</t>
  </si>
  <si>
    <t>正</t>
  </si>
  <si>
    <t>老師的主要工作是教學</t>
  </si>
  <si>
    <t>老師/工作/正(主要)/什麼/教</t>
  </si>
  <si>
    <t>https://twtsl.ccu.edu.tw/sentence/j/S-just.mp4</t>
  </si>
  <si>
    <t>714cd734c968aad7a7acb4cbc0569f92f5ca279cb6fdf005fadecc2638580f15</t>
  </si>
  <si>
    <t>TWS0293</t>
  </si>
  <si>
    <t>鑰匙</t>
  </si>
  <si>
    <t>我的鑰匙不見了</t>
  </si>
  <si>
    <t>我/鑰匙/遺失</t>
  </si>
  <si>
    <t>https://twtsl.ccu.edu.tw/sentence/k/S-key.mp4</t>
  </si>
  <si>
    <t>51fde2ae354c8ef5a2966ec465d5c51db703c4064285c4644eb4fc4f0a2ca5ba</t>
  </si>
  <si>
    <t>TWS0294</t>
  </si>
  <si>
    <t>殺</t>
  </si>
  <si>
    <t>殺人是犯法的</t>
  </si>
  <si>
    <t>人/殺/這/違法/失約</t>
  </si>
  <si>
    <t>https://twtsl.ccu.edu.tw/sentence/k/S-kill_a.mp4</t>
  </si>
  <si>
    <t>3c4ce86ad5ea735911495ca6352b1048c86d9bbd576961a918d2a02b3b5f8207</t>
  </si>
  <si>
    <t>TWS0295</t>
  </si>
  <si>
    <t>知道_N</t>
  </si>
  <si>
    <t>我/水餃/知道</t>
  </si>
  <si>
    <t>https://twtsl.ccu.edu.tw/sentence/k/S-know_n.mp4</t>
  </si>
  <si>
    <t>64486330940aa9bf6f928240514ddf9bba7315646fe569da87018cd7bd57026a</t>
  </si>
  <si>
    <t>TWS0296</t>
  </si>
  <si>
    <t>你知道我的眼鏡在哪裡嗎?</t>
  </si>
  <si>
    <t>我/眼鏡/哪裡/你/知道</t>
  </si>
  <si>
    <t>https://twtsl.ccu.edu.tw/sentence/k/S-know_s.mp4</t>
  </si>
  <si>
    <t>36c42234f702b40790931402c987984cdf63b9d461c4a169b3bee86614115a62</t>
  </si>
  <si>
    <t>TWS0297</t>
  </si>
  <si>
    <t>認識_A</t>
  </si>
  <si>
    <t>你認識我的老師嗎?</t>
  </si>
  <si>
    <t>老師/你/我/老師/你/認識</t>
  </si>
  <si>
    <t>https://twtsl.ccu.edu.tw/sentence/k/S-know_s_2.mp4</t>
  </si>
  <si>
    <t>392aa9637a7e7080dc408ce2c628547c91fda0819328885c8d21ffb5910ce9b9</t>
  </si>
  <si>
    <t>TWS0298</t>
  </si>
  <si>
    <t>你認識我嗎?</t>
  </si>
  <si>
    <t>你/見我/認識</t>
  </si>
  <si>
    <t>https://twtsl.ccu.edu.tw/sentence/k/S-know_s_3.mp4</t>
  </si>
  <si>
    <t>643bbb178fe6c22ca9a2b59201cd028853bfac376b03298ea01841c72d181b82</t>
  </si>
  <si>
    <t>TWS0299</t>
  </si>
  <si>
    <t>知識</t>
  </si>
  <si>
    <t>知識就是力量</t>
  </si>
  <si>
    <t>力量/什麼/知識</t>
  </si>
  <si>
    <t>https://twtsl.ccu.edu.tw/sentence/k/S-knowledge.mp4</t>
  </si>
  <si>
    <t>7ccad740a59b7d0396acf4efd31e80a396582a996915b85542b5a14043304752</t>
  </si>
  <si>
    <t>TWS0300</t>
  </si>
  <si>
    <t>池</t>
  </si>
  <si>
    <t>學校裡有一座人工湖</t>
  </si>
  <si>
    <t>學校/裡/人/工/挖/湖/有</t>
  </si>
  <si>
    <t>https://twtsl.ccu.edu.tw/sentence/l/S-lake.mp4</t>
  </si>
  <si>
    <t>e0215c7d53b0500c9e984525425193d9fed81efa3a8fbdb6dbdd0e1a023de2c1</t>
  </si>
  <si>
    <t>TWS0301</t>
  </si>
  <si>
    <t>土</t>
  </si>
  <si>
    <t>我看到坵蚓從土裡鑽出來</t>
  </si>
  <si>
    <t>土/平/我/見/蚯蚓爬出來</t>
  </si>
  <si>
    <t>https://twtsl.ccu.edu.tw/sentence/s/S-land_soil.mp4</t>
  </si>
  <si>
    <t>ff222ebed806110dd06bf087f9b8d7081e668fb418e35bd14f4b144e47328283</t>
  </si>
  <si>
    <t>TWS0302</t>
  </si>
  <si>
    <t>這個地方的土很肥沃</t>
  </si>
  <si>
    <t>這/土/這/土/這/夠/肥沃</t>
  </si>
  <si>
    <t>https://twtsl.ccu.edu.tw/sentence/s/S-land_soil_2.mp4</t>
  </si>
  <si>
    <t>091f9c634b5a8b1aa51c29eb095d2f5d1fb262435cb85175e60e02680169f4f0</t>
  </si>
  <si>
    <t>TWS0303</t>
  </si>
  <si>
    <t>語言</t>
  </si>
  <si>
    <t>我會三種語言</t>
  </si>
  <si>
    <t>我/語言/三/會</t>
  </si>
  <si>
    <t>https://twtsl.ccu.edu.tw/sentence/l/S-language.mp4</t>
  </si>
  <si>
    <t>8444b6a7b2ba84f13d6f6ac933f6dd1b741e513b0329006b84c0cde61cfeb55b</t>
  </si>
  <si>
    <t>TWS0304</t>
  </si>
  <si>
    <t>笑</t>
  </si>
  <si>
    <t>那個笑話，讓他笑了五分鐘</t>
  </si>
  <si>
    <t>這/笑話/他/笑/摀嘴/五分鐘</t>
  </si>
  <si>
    <t>https://twtsl.ccu.edu.tw/sentence/l/S-laugh.mp4</t>
  </si>
  <si>
    <t>f8f5227518ac244e5814583be75b9e5bc2c7e4d56cf49d3cdde56783c6410531</t>
  </si>
  <si>
    <t>TWS0305</t>
  </si>
  <si>
    <t>圖書館</t>
  </si>
  <si>
    <t>我家離圖書館很近</t>
  </si>
  <si>
    <t>圖書館/我/家/兩者距離/近</t>
  </si>
  <si>
    <t>https://twtsl.ccu.edu.tw/sentence/l/S-library.mp4</t>
  </si>
  <si>
    <t>487167c451ba1ef566a1ed32c82f10d15e77ad308e465e0cc4c2848fdeb89a54</t>
  </si>
  <si>
    <t>TWS0306</t>
  </si>
  <si>
    <t>輕</t>
  </si>
  <si>
    <t>剛出生的嬰兒體重很輕</t>
  </si>
  <si>
    <t>嬰兒/剛剛/出生/這/體重/輕</t>
  </si>
  <si>
    <t>https://twtsl.ccu.edu.tw/sentence/l/S-light_a.mp4</t>
  </si>
  <si>
    <t>b81822611ba567ca0f92b2f335c952c673d1511e4c86fd157ee947655e21fbb0</t>
  </si>
  <si>
    <t>TWS0307</t>
  </si>
  <si>
    <t>喜歡_N</t>
  </si>
  <si>
    <t>我喜歡聽音樂</t>
  </si>
  <si>
    <t>唱歌/指揮/我/聽/喜歡</t>
  </si>
  <si>
    <t>https://twtsl.ccu.edu.tw/sentence/l/S-like_n.mp4</t>
  </si>
  <si>
    <t>c082b6c1a7f3ae473ed722bfad70da8ada1ea75adbd0707afa5def720737f14b</t>
  </si>
  <si>
    <t>TWS0308</t>
  </si>
  <si>
    <t>我喜歡你</t>
  </si>
  <si>
    <t>你/我/喜歡</t>
  </si>
  <si>
    <t>https://twtsl.ccu.edu.tw/sentence/l/S-like_n_2.mp4</t>
  </si>
  <si>
    <t>83c0946695f43629302ff2f6a16dfd8da8b6317cb521a73fc560f23d10f45e72</t>
  </si>
  <si>
    <t>TWS0309</t>
  </si>
  <si>
    <t>那個女生喜歡看書</t>
  </si>
  <si>
    <t>那/女生/喜歡/什麼/看/書</t>
  </si>
  <si>
    <t>https://twtsl.ccu.edu.tw/sentence/l/S-like_n_3.mp4</t>
  </si>
  <si>
    <t>0d71cf89be9f2a7dc10801a8b4971e4d81c8a050276521063124275813ed3c76</t>
  </si>
  <si>
    <t>TWS0310</t>
  </si>
  <si>
    <t>酒_N</t>
  </si>
  <si>
    <t>喝太多酒對身體不好</t>
  </si>
  <si>
    <t>酒/喝/多/對/身體/不好</t>
  </si>
  <si>
    <t>https://twtsl.ccu.edu.tw/sentence/l/S-liquor_n.mp4</t>
  </si>
  <si>
    <t>59578ba8bfe07e8e9a6924e334d0fa3a3be24fd93eaade20388475ceed0fae1a</t>
  </si>
  <si>
    <t>TWS0311</t>
  </si>
  <si>
    <t>住_A</t>
  </si>
  <si>
    <t>我住在台北</t>
  </si>
  <si>
    <t>我/住/台北</t>
  </si>
  <si>
    <t>https://twtsl.ccu.edu.tw/sentence/l/S-live_a.mp4</t>
  </si>
  <si>
    <t>65615c5b3a8ac924d1e1528814ac96d03aab5f1911095ffc6baafb6f5b4910e1</t>
  </si>
  <si>
    <t>TWS0312</t>
  </si>
  <si>
    <t>無聊</t>
  </si>
  <si>
    <t>一個人在家好無聊</t>
  </si>
  <si>
    <t>只有一個/家/在/無聊</t>
  </si>
  <si>
    <t>https://twtsl.ccu.edu.tw/sentence/l/S-lonely_a.mp4</t>
  </si>
  <si>
    <t>5e345fbddbf8f7c8004d805c0c4d12bd0cf21313144721a445a2edfcacfb9320</t>
  </si>
  <si>
    <t>TWS0313</t>
  </si>
  <si>
    <t>久</t>
  </si>
  <si>
    <t>他寫功課，因為不懂，所以寫了很久</t>
  </si>
  <si>
    <t>他/念書/寫/不懂/久</t>
  </si>
  <si>
    <t>https://twtsl.ccu.edu.tw/sentence/l/S-long.mp4</t>
  </si>
  <si>
    <t>38832190c5a688415b215b7b0bb3442019325796492e14cb27aa4443fa9d93c6</t>
  </si>
  <si>
    <t>TWS0314</t>
  </si>
  <si>
    <t>找</t>
  </si>
  <si>
    <t>請幫我找一下同學</t>
  </si>
  <si>
    <t>幫我/同學/找</t>
  </si>
  <si>
    <t>https://twtsl.ccu.edu.tw/sentence/l/S-look_for.mp4</t>
  </si>
  <si>
    <t>23bc095930b9478af166bfca43e748696115b5c3891582c69deaf97b510abb64</t>
  </si>
  <si>
    <t>TWS0315</t>
  </si>
  <si>
    <t>愛</t>
  </si>
  <si>
    <t>爸爸很愛媽媽</t>
  </si>
  <si>
    <t>媽媽/爸爸/愛(表情加強)</t>
  </si>
  <si>
    <t>https://twtsl.ccu.edu.tw/sentence/l/S-love.mp4</t>
  </si>
  <si>
    <t>19285590fb93b112e3017e684459ff3ea9a7314d758d2de7c1be16281833d0ba</t>
  </si>
  <si>
    <t>TWS0316</t>
  </si>
  <si>
    <t>機器</t>
  </si>
  <si>
    <t>這台機車性能很好</t>
  </si>
  <si>
    <t>這/機車/機器/堅固/棒</t>
  </si>
  <si>
    <t>https://twtsl.ccu.edu.tw/sentence/m/S-machine.mp4</t>
  </si>
  <si>
    <t>21957ecda027cecd53e9829c2a4f5bb1cd39ea307ca7a86abc80ead9c81d6a9a</t>
  </si>
  <si>
    <t>TWS0317</t>
  </si>
  <si>
    <t>化妝</t>
  </si>
  <si>
    <t>姐姐出門前會先化妝</t>
  </si>
  <si>
    <t>姐姐/出/之前/會/什麼/化妝</t>
  </si>
  <si>
    <t>https://twtsl.ccu.edu.tw/sentence/m/S-make_up.mp4</t>
  </si>
  <si>
    <t>43a01c2c80f3beddd3e721eeb69dd32053c32e9cfd230ae100d2929bf607cdfc</t>
  </si>
  <si>
    <t>TWS0318</t>
  </si>
  <si>
    <t>先生</t>
  </si>
  <si>
    <t>陳先生很喜歡那位小姐</t>
  </si>
  <si>
    <t>那/女性/那/陳/先生/見/喜歡</t>
  </si>
  <si>
    <t>https://twtsl.ccu.edu.tw/sentence/m/S-man.mp4</t>
  </si>
  <si>
    <t>08afb09bfbb843c12a645e4d235c7bd2d760d48c9ad3e741ab1c808973661c38</t>
  </si>
  <si>
    <t>TWS0319</t>
  </si>
  <si>
    <t>我不認識那個男生</t>
  </si>
  <si>
    <t>他/男/我/見/不認識</t>
  </si>
  <si>
    <t>https://twtsl.ccu.edu.tw/sentence/m/S-man_2.mp4</t>
  </si>
  <si>
    <t>426a5447488ebc776ee53b635b44ee9af11ba927d4a178dbeef036fb72ad42dc</t>
  </si>
  <si>
    <t>TWS0320</t>
  </si>
  <si>
    <t>多_A</t>
  </si>
  <si>
    <t>他有許多煩惱的事情</t>
  </si>
  <si>
    <t>他/討厭/事情/多</t>
  </si>
  <si>
    <t>https://twtsl.ccu.edu.tw/sentence/m/S-many.mp4</t>
  </si>
  <si>
    <t>3bf605c8026b6141ccebda85cc5b9d086f95b9ca8d7f49ac354b38c08ad229ee</t>
  </si>
  <si>
    <t>TWS0321</t>
  </si>
  <si>
    <t>結婚</t>
  </si>
  <si>
    <t>我們明年要結婚了</t>
  </si>
  <si>
    <t>我們兩個/明年/結婚</t>
  </si>
  <si>
    <t>https://twtsl.ccu.edu.tw/sentence/m/S-marry.mp4</t>
  </si>
  <si>
    <t>62c8739b64311e5d3a726fb901901a75107a49465c1f71eccae601c78b4c257e</t>
  </si>
  <si>
    <t>TWS0322</t>
  </si>
  <si>
    <t>你願意和我結婚嗎?</t>
  </si>
  <si>
    <t>結婚/願意</t>
  </si>
  <si>
    <t>https://twtsl.ccu.edu.tw/sentence/m/S-marry_2.mp4</t>
  </si>
  <si>
    <t>b74c73acdf4936b34a2ee17da213bbbe5afd1e93b5f0c1902299e281664484e8</t>
  </si>
  <si>
    <t>TWS0323</t>
  </si>
  <si>
    <t>亂</t>
  </si>
  <si>
    <t>他的房間很亂</t>
  </si>
  <si>
    <t>他/家/住/家裡/亂</t>
  </si>
  <si>
    <t>https://twtsl.ccu.edu.tw/sentence/m/S-mass_a.mp4</t>
  </si>
  <si>
    <t>17409c38a6b9f38ba22e5b337b9d25efd6c7772d0f571f762d88392db981cf02</t>
  </si>
  <si>
    <t>TWS0324</t>
  </si>
  <si>
    <t>數學</t>
  </si>
  <si>
    <t>哥哥教弟弟寫數學功課</t>
  </si>
  <si>
    <t>弟弟/數學/寫/哥哥/教</t>
  </si>
  <si>
    <t>https://twtsl.ccu.edu.tw/sentence/m/S-math.mp4</t>
  </si>
  <si>
    <t>095f343728f613646729a65c49c3725b3d8b9938f5f1a7e974b77e1161f6939d</t>
  </si>
  <si>
    <t>TWS0325</t>
  </si>
  <si>
    <t>可以</t>
  </si>
  <si>
    <t>她可以跟我們一起去旅遊嗎?</t>
  </si>
  <si>
    <t>我們/一起/去/旅行/玩/她/加入/可以</t>
  </si>
  <si>
    <t>https://twtsl.ccu.edu.tw/sentence/m/S-may.mp4</t>
  </si>
  <si>
    <t>63068c96ec3fa7dabe83d411187699a5727aec52e350b53852084f1413199d0e</t>
  </si>
  <si>
    <t>TWS0326</t>
  </si>
  <si>
    <t>他可以完成所有事情</t>
  </si>
  <si>
    <t>全部/事情/他/全部/做/結束/行/可以</t>
  </si>
  <si>
    <t>https://twtsl.ccu.edu.tw/sentence/m/S-may_2.mp4</t>
  </si>
  <si>
    <t>09d8afea23b68635be4e971e38d0bc0b0ab80eafa1886f9cf3a962f4d54869e8</t>
  </si>
  <si>
    <t>TWS0327</t>
  </si>
  <si>
    <t>藥</t>
  </si>
  <si>
    <t>等一下去藥局領藥</t>
  </si>
  <si>
    <t>等/去/藥局/藥/拿</t>
  </si>
  <si>
    <t>https://twtsl.ccu.edu.tw/sentence/m/S-medicine.mp4</t>
  </si>
  <si>
    <t>59a3124efc736870d55e52e6f9ba8d4ec0fae4a7316994018793e074d971baf9</t>
  </si>
  <si>
    <t>TWS0328</t>
  </si>
  <si>
    <t>見面_B</t>
  </si>
  <si>
    <t>我們下次再見面</t>
  </si>
  <si>
    <t>我們/下/再/見面</t>
  </si>
  <si>
    <t>https://twtsl.ccu.edu.tw/sentence/m/S-meet_b.mp4</t>
  </si>
  <si>
    <t>3c38862bef1397bab85a8aadfef5d3396a1fac33ed274f0c15e6178a6f54cab0</t>
  </si>
  <si>
    <t>TWS0329</t>
  </si>
  <si>
    <t>開會</t>
  </si>
  <si>
    <t>每個星期一都要開會</t>
  </si>
  <si>
    <t>每個星期/星期一/開會/一樣</t>
  </si>
  <si>
    <t>https://twtsl.ccu.edu.tw/sentence/m/S-meeting.mp4</t>
  </si>
  <si>
    <t>3ca4cdaf9d846c79fa310169670a17f0b7a9f08a9bffd52973ef98ab9825359f</t>
  </si>
  <si>
    <t>TWS0330</t>
  </si>
  <si>
    <t>這次會議因人數過多而取消</t>
  </si>
  <si>
    <t>這/會議/那/人/參加/多/怎麼辦/取消</t>
  </si>
  <si>
    <t>https://twtsl.ccu.edu.tw/sentence/m/S-meeting_2.mp4</t>
  </si>
  <si>
    <t>b889d78fa90b0acb7bc3e428c78b82b3ebb8058694f4187d047da06d7f4e40d7</t>
  </si>
  <si>
    <t>TWS0331</t>
  </si>
  <si>
    <t>奶_S</t>
  </si>
  <si>
    <t>嬰兒要喝奶</t>
  </si>
  <si>
    <t>嬰兒/奶/要</t>
  </si>
  <si>
    <t>https://twtsl.ccu.edu.tw/sentence/m/S-milk_s.mp4</t>
  </si>
  <si>
    <t>d005adc6c140684fa57105f308ab41ecbffc939aa15bee2fbcf2942520944cfd</t>
  </si>
  <si>
    <t>TWS0332</t>
  </si>
  <si>
    <t>錯</t>
  </si>
  <si>
    <t>考試時要仔細，別看錯題目</t>
  </si>
  <si>
    <t>你/考試/閱讀/題/要/閱讀/看/見/錯/不行/仔細看/要</t>
  </si>
  <si>
    <t>https://twtsl.ccu.edu.tw/sentence/m/S-mistake.mp4</t>
  </si>
  <si>
    <t>a2ad558f5ee76935d90c37a6de4080d33caddca4c3c44026670f067ea0618443</t>
  </si>
  <si>
    <t>TWS0333</t>
  </si>
  <si>
    <t>金錢</t>
  </si>
  <si>
    <t>出門記得要帶錢</t>
  </si>
  <si>
    <t>嗨/出/記得/錢/放口袋</t>
  </si>
  <si>
    <t>https://twtsl.ccu.edu.tw/sentence/m/S-money.mp4</t>
  </si>
  <si>
    <t>4aa45b6694ce5024ba163a37366eeea70fe1d2c6fac1e3b800093843cf6a893e</t>
  </si>
  <si>
    <t>TWS0334</t>
  </si>
  <si>
    <t>母親</t>
  </si>
  <si>
    <t>媽媽是全天下最好的</t>
  </si>
  <si>
    <t>媽媽/全世界/好/第一名/好</t>
  </si>
  <si>
    <t>https://twtsl.ccu.edu.tw/sentence/m/S-mother.mp4</t>
  </si>
  <si>
    <t>c928d1e162284a2d8f0cd34f78c9bc25372d0f45dbe0120f7c6c1db464397638</t>
  </si>
  <si>
    <t>TWS0335</t>
  </si>
  <si>
    <t>阿姨</t>
  </si>
  <si>
    <t>昨天阿姨來我家玩</t>
  </si>
  <si>
    <t>昨天/阿姨/來我家/玩</t>
  </si>
  <si>
    <t>https://twtsl.ccu.edu.tw/sentence/m/S-mothers_sister.mp4</t>
  </si>
  <si>
    <t>907338e1e9fb415ff13d4acdb5d9b80029aef54d85d8c8deffcf7e5aa97407bb</t>
  </si>
  <si>
    <t>TWS0336</t>
  </si>
  <si>
    <t>摩托車</t>
  </si>
  <si>
    <t>一台機車要價五萬，很貴</t>
  </si>
  <si>
    <t>機車/一/五萬/貴</t>
  </si>
  <si>
    <t>https://twtsl.ccu.edu.tw/sentence/m/S-motorcycle.mp4</t>
  </si>
  <si>
    <t>e44f607598583305382af77e579ee726163be055b44a8ccc7a6c36733836c070</t>
  </si>
  <si>
    <t>TWS0337</t>
  </si>
  <si>
    <t>爬山_A</t>
  </si>
  <si>
    <t>我上禮拜跟爸爸去爬山</t>
  </si>
  <si>
    <t>上個星期/我/爸爸/我倆/去/爬山/山</t>
  </si>
  <si>
    <t>https://twtsl.ccu.edu.tw/sentence/m/S-mountain_climbing_a.mp4</t>
  </si>
  <si>
    <t>8b4e9c43447f0e2c46ae76b19f71fecbee1e8d6eca50b99f42cd942cfa892df3</t>
  </si>
  <si>
    <t>TWS0338</t>
  </si>
  <si>
    <t>口</t>
  </si>
  <si>
    <t>要隨時保持口腔清潔</t>
  </si>
  <si>
    <t>隨意/時間/口/乾淨/保護/依然</t>
  </si>
  <si>
    <t>https://twtsl.ccu.edu.tw/sentence/m/S-mouth.mp4</t>
  </si>
  <si>
    <t>cfcff1417a29eedb79bd3bbc9c3e985a42d67b38d59d5fc3dc265ce142272989</t>
  </si>
  <si>
    <t>TWS0339</t>
  </si>
  <si>
    <t>活動</t>
  </si>
  <si>
    <t>登山是其中一種戶外活動</t>
  </si>
  <si>
    <t>戶/外/活動/其中/一/爬山</t>
  </si>
  <si>
    <t>https://twtsl.ccu.edu.tw/sentence/m/S-move.mp4</t>
  </si>
  <si>
    <t>52414cfd4c90814115339163fa59e7130f67b803da053bc4a8ac9b010b111a20</t>
  </si>
  <si>
    <t>TWS0340</t>
  </si>
  <si>
    <t>電影</t>
  </si>
  <si>
    <t>看電影時請保持安靜</t>
  </si>
  <si>
    <t>電影/欣賞/安靜/保持</t>
  </si>
  <si>
    <t>https://twtsl.ccu.edu.tw/sentence/m/S-movie.mp4</t>
  </si>
  <si>
    <t>50a076ea495c9494aeeb156355201386be4376dde3171c628e4d874ac78d4c2f</t>
  </si>
  <si>
    <t>TWS0341</t>
  </si>
  <si>
    <t>搬家_B</t>
  </si>
  <si>
    <t>搬家很辛苦</t>
  </si>
  <si>
    <t>搬家/辛苦</t>
  </si>
  <si>
    <t>https://twtsl.ccu.edu.tw/sentence/m/S-moving_to_a_different_house_b.mp4</t>
  </si>
  <si>
    <t>aedda3e90379cb94f9ca5562e0476da77f3dcb74463130ac913989853f08a1a9</t>
  </si>
  <si>
    <t>TWS0342</t>
  </si>
  <si>
    <t>互相</t>
  </si>
  <si>
    <t>互相關心是婚姻幸福的關鍵</t>
  </si>
  <si>
    <t>互相/關心/這兩個/夫妻/幸福/重要/這</t>
  </si>
  <si>
    <t>https://twtsl.ccu.edu.tw/sentence/m/S-mutual.mp4</t>
  </si>
  <si>
    <t>dfb512457cab33a85d3898abb3b5b7c43da392b206f8f55efc5ddbba607f78ff</t>
  </si>
  <si>
    <t>TWS0343</t>
  </si>
  <si>
    <t>名字_S</t>
  </si>
  <si>
    <t>他的名字看起來很不錯</t>
  </si>
  <si>
    <t>他/名字/看/棒</t>
  </si>
  <si>
    <t>https://twtsl.ccu.edu.tw/sentence/n/S-name_s.mp4</t>
  </si>
  <si>
    <t>839fae7700399faf00da0f48bd6837f253f24367dd59a172ed5437cb113fd98a</t>
  </si>
  <si>
    <t>TWS0344</t>
  </si>
  <si>
    <t>鄰居</t>
  </si>
  <si>
    <t>隔壁鄰居是個老先生</t>
  </si>
  <si>
    <t>鄰居/下一個/這/老/先生</t>
  </si>
  <si>
    <t>https://twtsl.ccu.edu.tw/sentence/n/S-neighbor.mp4</t>
  </si>
  <si>
    <t>d5ae81dba5e72716b7ddc68dd685e7dc81302cc876b6d6952cb89e995893c4a7</t>
  </si>
  <si>
    <t>TWS0345</t>
  </si>
  <si>
    <t>緊張_A</t>
  </si>
  <si>
    <t>快輪到他表演了，他很緊張</t>
  </si>
  <si>
    <t>快接近/下一個/他/表演/他/緊張/緊張B</t>
  </si>
  <si>
    <t>https://twtsl.ccu.edu.tw/sentence/n/S-nervous.mp4</t>
  </si>
  <si>
    <t>0401459d4064603b940b0aff52736ac5554d899688ea5be7c9a86285d72e64fc</t>
  </si>
  <si>
    <t>TWS0346</t>
  </si>
  <si>
    <t>新</t>
  </si>
  <si>
    <t>這個背包是新的</t>
  </si>
  <si>
    <t>這/背包/新</t>
  </si>
  <si>
    <t>https://twtsl.ccu.edu.tw/sentence/n/S-new.mp4</t>
  </si>
  <si>
    <t>93ba4b4df782b2a2c53a9dd7317812ff0af39c84f4f9da921b1ce555520cf05d</t>
  </si>
  <si>
    <t>TWS0347</t>
  </si>
  <si>
    <t>報紙</t>
  </si>
  <si>
    <t>我要看報紙</t>
  </si>
  <si>
    <t>報紙/我/看/要</t>
  </si>
  <si>
    <t>https://twtsl.ccu.edu.tw/sentence/n/S-newspaper.mp4</t>
  </si>
  <si>
    <t>0d3d080eebc327da88f1d6812dd5e4e19f8fb7e0971e41ab5f1ba6fb1fb1a1b5</t>
  </si>
  <si>
    <t>TWS0348</t>
  </si>
  <si>
    <t>下一個</t>
  </si>
  <si>
    <t>下一站要下車</t>
  </si>
  <si>
    <t>搭車/那/下一個/那/下車</t>
  </si>
  <si>
    <t>https://twtsl.ccu.edu.tw/sentence/n/S-next.mp4</t>
  </si>
  <si>
    <t>7ba16d566dad8804e054f2625fd9015f4c4b67decf15866e0a3036dba4b0634e</t>
  </si>
  <si>
    <t>TWS0349</t>
  </si>
  <si>
    <t>明年</t>
  </si>
  <si>
    <t>明年我要去美國</t>
  </si>
  <si>
    <t>明年/美國/我/去</t>
  </si>
  <si>
    <t>https://twtsl.ccu.edu.tw/sentence/n/S-next_year.mp4</t>
  </si>
  <si>
    <t>52feb74e1b6bdb26c163f610600251bf1d1210af05cf1001b8fb438fed2634e4</t>
  </si>
  <si>
    <t>TWS0350</t>
  </si>
  <si>
    <t>麵</t>
  </si>
  <si>
    <t>你要吃麵還是吃飯？</t>
  </si>
  <si>
    <t>麵/米/這兩個/吃/什麼</t>
  </si>
  <si>
    <t>https://twtsl.ccu.edu.tw/sentence/n/S-noodles.mp4</t>
  </si>
  <si>
    <t>cf5f88237faa7bafdad58242df343b7c576fd313b289b9f91bb5eae5d2dd8f03</t>
  </si>
  <si>
    <t>TWS0351</t>
  </si>
  <si>
    <t>不錯</t>
  </si>
  <si>
    <t>這雞肉飯勉強還可以</t>
  </si>
  <si>
    <t>這/雞/吃飯/吃/還不錯</t>
  </si>
  <si>
    <t>https://twtsl.ccu.edu.tw/sentence/n/S-not_bad.mp4</t>
  </si>
  <si>
    <t>db1283bfefb7e4488b575eaea92a6cfe57e8d2ae92cd0c49b1f85144300c330e</t>
  </si>
  <si>
    <t>TWS0352</t>
  </si>
  <si>
    <t>差勁</t>
  </si>
  <si>
    <t>每個地方都有好人和壞人</t>
  </si>
  <si>
    <t>各處/人/好/人/不好/有</t>
  </si>
  <si>
    <t>https://twtsl.ccu.edu.tw/sentence/n/S-not_good.mp4</t>
  </si>
  <si>
    <t>9dbe1d3e351ffb26221f1ef798685da79bdfb367983317549a9f031e1be18644</t>
  </si>
  <si>
    <t>TWS0353</t>
  </si>
  <si>
    <t>今天</t>
  </si>
  <si>
    <t>今天是星期幾呢?</t>
  </si>
  <si>
    <t>今天/星期幾</t>
  </si>
  <si>
    <t>https://twtsl.ccu.edu.tw/sentence/n/S-now.mp4</t>
  </si>
  <si>
    <t>91ef58c7aa4a3b3197c52dcaaaa24b719ffe753cc271c9a179f192cb85cd6612</t>
  </si>
  <si>
    <t>TWS0354</t>
  </si>
  <si>
    <t>現在是幾點呢?</t>
  </si>
  <si>
    <t>現在/幾時</t>
  </si>
  <si>
    <t>https://twtsl.ccu.edu.tw/sentence/n/S-now_2.mp4</t>
  </si>
  <si>
    <t>f9c94d7f0e794576e572c5664841e2d144dea17e7951ef18b9d49d48b32b54ef</t>
  </si>
  <si>
    <t>TWS0355</t>
  </si>
  <si>
    <t>幾號_A</t>
  </si>
  <si>
    <t>今年端午節媽媽要包粽子</t>
  </si>
  <si>
    <t>現在/年/粽子/節/媽媽/包粽子</t>
  </si>
  <si>
    <t>https://twtsl.ccu.edu.tw/sentence/n/S-number_a.mp4</t>
  </si>
  <si>
    <t>47b176c84ad0433aa2ee87f2c83efdcd2665a28387e8e3502bc3aa16419145b4</t>
  </si>
  <si>
    <t>TWS0356</t>
  </si>
  <si>
    <t>幾號_B</t>
  </si>
  <si>
    <t>你的車牌號碼是多少</t>
  </si>
  <si>
    <t>你/開車/牌/號碼/嗎</t>
  </si>
  <si>
    <t>https://twtsl.ccu.edu.tw/sentence/n/S-number_b.mp4</t>
  </si>
  <si>
    <t>e42fd455ff09afa04c08dc507869d176fc0de245014e619b0d6ef3559d2264c4</t>
  </si>
  <si>
    <t>TWS0357</t>
  </si>
  <si>
    <t>護士</t>
  </si>
  <si>
    <t>台灣護士的專業能力很強</t>
  </si>
  <si>
    <t>台灣/護士/專/業/技術/棒</t>
  </si>
  <si>
    <t>https://twtsl.ccu.edu.tw/sentence/n/S-nurse.mp4</t>
  </si>
  <si>
    <t>7d83e5bac4323b4d5c48dd7aaec2d30e5a2d92dc23bb724760462be329681de4</t>
  </si>
  <si>
    <t>TWS0358</t>
  </si>
  <si>
    <t>肥_A</t>
  </si>
  <si>
    <t>肥胖對身體不好</t>
  </si>
  <si>
    <t>胖/對/身體/健康/不好</t>
  </si>
  <si>
    <t>https://twtsl.ccu.edu.tw/sentence/o/S-obesity_a.mp4</t>
  </si>
  <si>
    <t>9f86b3e62edbd6284955a31f25656ef3da1b798c9341ca9eb481590cc458828b</t>
  </si>
  <si>
    <t>TWS0359</t>
  </si>
  <si>
    <t>肥_B</t>
  </si>
  <si>
    <t>你變瘦了</t>
  </si>
  <si>
    <t>你/胖/變/瘦</t>
  </si>
  <si>
    <t>https://twtsl.ccu.edu.tw/sentence/o/S-obesity_b.mp4</t>
  </si>
  <si>
    <t>2db53c2ed57ec708d6889d93d27b08ba96cb07ca79a2b42ce472a246d73d44a4</t>
  </si>
  <si>
    <t>TWS0360</t>
  </si>
  <si>
    <t>辦公室_C</t>
  </si>
  <si>
    <t>辦公室請保持乾淨</t>
  </si>
  <si>
    <t>辦公室/乾淨/依然</t>
  </si>
  <si>
    <t>https://twtsl.ccu.edu.tw/sentence/o/S-office_c.mp4</t>
  </si>
  <si>
    <t>4e824b416d77893323829cf388b42d5f28f66e488e680ccab5d09f929e5ffdb2</t>
  </si>
  <si>
    <t>TWS0361</t>
  </si>
  <si>
    <t>常常</t>
  </si>
  <si>
    <t>他/睡/做不成/經常</t>
  </si>
  <si>
    <t>https://twtsl.ccu.edu.tw/sentence/o/S-often_a.mp4</t>
  </si>
  <si>
    <t>c78b4dc9afb5a1f2401ac4662dc24762f05ff4e3942005aae627a32429a08fb1</t>
  </si>
  <si>
    <t>TWS0362</t>
  </si>
  <si>
    <t>我常常去跑步</t>
  </si>
  <si>
    <t>跑/我/常常</t>
  </si>
  <si>
    <t>https://twtsl.ccu.edu.tw/sentence/o/S-often_a_2.mp4</t>
  </si>
  <si>
    <t>8f7082a676cb5a105eeda3a53c37ba14a7f4e1411a9404207a6c3d26f2c1dd6c</t>
  </si>
  <si>
    <t>TWS0363</t>
  </si>
  <si>
    <t>油_S</t>
  </si>
  <si>
    <t>炒菜時要用油</t>
  </si>
  <si>
    <t>菜/炒/油/倒/要</t>
  </si>
  <si>
    <t>https://twtsl.ccu.edu.tw/sentence/o/S-oil_s.mp4</t>
  </si>
  <si>
    <t>b499463bca2cc001528c235fbc9fc764749f55efacc1ebbec1ee73baca99075a</t>
  </si>
  <si>
    <t>TWS0364</t>
  </si>
  <si>
    <t>舊_B</t>
  </si>
  <si>
    <t>他丟了許多舊報紙</t>
  </si>
  <si>
    <t>他/舊/報紙/攤開/亂丟</t>
  </si>
  <si>
    <t>https://twtsl.ccu.edu.tw/sentence/o/S-old_a.mp4</t>
  </si>
  <si>
    <t>ddf1796ac4f5c3f3f1b90a5b40445d5c8a147fcf58d946b7a16121de02b88521</t>
  </si>
  <si>
    <t>TWS0365</t>
  </si>
  <si>
    <t>舊_A</t>
  </si>
  <si>
    <t>那隻狗很老了</t>
  </si>
  <si>
    <t>那/狗/老/爬</t>
  </si>
  <si>
    <t>https://twtsl.ccu.edu.tw/sentence/o/S-old_b.mp4</t>
  </si>
  <si>
    <t>0cf7bb0754c0e23c9e20c46be1da8ca26c41f12a358155c022f85090167a0b89</t>
  </si>
  <si>
    <t>TWS0366</t>
  </si>
  <si>
    <t>姊姊</t>
  </si>
  <si>
    <t>姊姊沒有男朋友</t>
  </si>
  <si>
    <t>姊姊/男/朋友/沒有</t>
  </si>
  <si>
    <t>https://twtsl.ccu.edu.tw/sentence/o/S-older_sister.mp4</t>
  </si>
  <si>
    <t>c561d9f99a1fc344d13ad061d2cbdc84a866894fbe068eae03a673da1829dbf4</t>
  </si>
  <si>
    <t>TWS0367</t>
  </si>
  <si>
    <t>一</t>
  </si>
  <si>
    <t>我有一件裙子</t>
  </si>
  <si>
    <t>我/裙子/有/一</t>
  </si>
  <si>
    <t>https://twtsl.ccu.edu.tw/sentence/o/S-one.mp4</t>
  </si>
  <si>
    <t>c176a7271ccb861ca0322a3d7cb26cb0b6a9dd5557f01cc8d17e9a27adf80483</t>
  </si>
  <si>
    <t>TWS0368</t>
  </si>
  <si>
    <t>一個鐘頭_A</t>
  </si>
  <si>
    <t>爸爸一個鐘頭後就回來了</t>
  </si>
  <si>
    <t>爸爸/一個鐘頭/回來</t>
  </si>
  <si>
    <t>https://twtsl.ccu.edu.tw/sentence/o/S-one_hour_a.mp4</t>
  </si>
  <si>
    <t>bac00e5f5bb0aa58084989e410b01bc070eb36c487e4457d9d1aa1cfcb75d032</t>
  </si>
  <si>
    <t>TWS0369</t>
  </si>
  <si>
    <t>只有一個</t>
  </si>
  <si>
    <t>這間教室只有我一個人</t>
  </si>
  <si>
    <t>這/教室/全部/我/只有一個/人</t>
  </si>
  <si>
    <t>https://twtsl.ccu.edu.tw/sentence/o/S-only_one.mp4</t>
  </si>
  <si>
    <t>67137a70ceb31b638a967d7056bed74a7976b47c43f77679e7d0f5f4154ab688</t>
  </si>
  <si>
    <t>TWS0370</t>
  </si>
  <si>
    <t>悶</t>
  </si>
  <si>
    <t>這件牛仔褲很緊</t>
  </si>
  <si>
    <t>這/牛/褲子/緊/悶</t>
  </si>
  <si>
    <t>https://twtsl.ccu.edu.tw/sentence/o/S-oppressive.mp4</t>
  </si>
  <si>
    <t>3150660837fd6696af20512665fca767d6f909a2cbea39d4ed65a07036ef26f3</t>
  </si>
  <si>
    <t>TWS0371</t>
  </si>
  <si>
    <t>口語</t>
  </si>
  <si>
    <t>我/口語/三/會</t>
  </si>
  <si>
    <t>https://twtsl.ccu.edu.tw/sentence/o/S-oral.mp4</t>
  </si>
  <si>
    <t>cdc67e67a797401861e54def3de3ee660500dcee18bacad34e7dbaf3ef918d66</t>
  </si>
  <si>
    <t>TWS0372</t>
  </si>
  <si>
    <t>橘子</t>
  </si>
  <si>
    <t>橘子是我最喜歡的水果</t>
  </si>
  <si>
    <t>水果/其中/橘子/我/喜歡</t>
  </si>
  <si>
    <t>https://twtsl.ccu.edu.tw/sentence/o/S-orange.mp4</t>
  </si>
  <si>
    <t>209fa534d359434282952491c31eaad277015d9a391e893d45c70fe59fa158ae</t>
  </si>
  <si>
    <t>TWS0373</t>
  </si>
  <si>
    <t>原來</t>
  </si>
  <si>
    <t>原來他是老師</t>
  </si>
  <si>
    <t>他/老師/原來</t>
  </si>
  <si>
    <t>https://twtsl.ccu.edu.tw/sentence/o/S-originally.mp4</t>
  </si>
  <si>
    <t>821522765d3cd9e938474090748f66d4bc62d5185e774ef2768e39a829972b6e</t>
  </si>
  <si>
    <t>TWS0374</t>
  </si>
  <si>
    <t>另外</t>
  </si>
  <si>
    <t>你還有其他的計劃嗎?</t>
  </si>
  <si>
    <t>你/想/計畫/又/其他/有沒有</t>
  </si>
  <si>
    <t>https://twtsl.ccu.edu.tw/sentence/o/S-out.mp4</t>
  </si>
  <si>
    <t>1a642649dab24c8e7556c5b6931cdcecb9c5e66e7c7969ea7df946d34701ef1f</t>
  </si>
  <si>
    <t>TWS0375</t>
  </si>
  <si>
    <t>外面的天氣不錯</t>
  </si>
  <si>
    <t>外面/那/晴天/還不錯</t>
  </si>
  <si>
    <t>https://twtsl.ccu.edu.tw/sentence/o/S-out_2.mp4</t>
  </si>
  <si>
    <t>94f765f385f63f19c93f61f5c793b8fd29b970332e5e2994df0471301fba9513</t>
  </si>
  <si>
    <t>TWS0376</t>
  </si>
  <si>
    <t>玩</t>
  </si>
  <si>
    <t>我好想出去玩</t>
  </si>
  <si>
    <t>我/去/玩/想</t>
  </si>
  <si>
    <t>https://twtsl.ccu.edu.tw/sentence/p/S-play.mp4</t>
  </si>
  <si>
    <t>1be0055a50e1b4249dfe9f559ecfa7ee1149a654743c657e57a3f0d1cf74272b</t>
  </si>
  <si>
    <t>TWS0377</t>
  </si>
  <si>
    <t>褲子</t>
  </si>
  <si>
    <t>這件褲子是名牌</t>
  </si>
  <si>
    <t>這/褲子/有名/貴</t>
  </si>
  <si>
    <t>https://twtsl.ccu.edu.tw/sentence/p/S-pants.mp4</t>
  </si>
  <si>
    <t>0ec8b59bac14f8fa4c95d2231a2556448ff5df9a3c237ca88836aa51b51dcfaa</t>
  </si>
  <si>
    <t>TWS0378</t>
  </si>
  <si>
    <t>停車</t>
  </si>
  <si>
    <t>紅線不能停車</t>
  </si>
  <si>
    <t>紅/邊/停車/不行</t>
  </si>
  <si>
    <t>https://twtsl.ccu.edu.tw/sentence/p/S-parking.mp4</t>
  </si>
  <si>
    <t>7b5a9c6825c9b23958960f3d670e6c0c71cd7f057c1ddad5f358759b3ecc49fb</t>
  </si>
  <si>
    <t>TWS0379</t>
  </si>
  <si>
    <t>參加</t>
  </si>
  <si>
    <t>我要參明天下午的會議</t>
  </si>
  <si>
    <t>明天/下午/會議/我/參加/要</t>
  </si>
  <si>
    <t>https://twtsl.ccu.edu.tw/sentence/p/S-participate.mp4</t>
  </si>
  <si>
    <t>f7bc09c36c536e07fb5df651a68cfeeb19ba80adbdd770e035ccac12d183ef23</t>
  </si>
  <si>
    <t>TWS0380</t>
  </si>
  <si>
    <t>及格_A</t>
  </si>
  <si>
    <t>他通過了重重考驗</t>
  </si>
  <si>
    <t>他/考試/輪流/他/過/通過</t>
  </si>
  <si>
    <t>https://twtsl.ccu.edu.tw/sentence/p/S-pass.mp4</t>
  </si>
  <si>
    <t>53830aae08d387e2c990f6100bafc972e2f8e221f26f89e38b2d0b42f60de624</t>
  </si>
  <si>
    <t>TWS0381</t>
  </si>
  <si>
    <t>已經_A</t>
  </si>
  <si>
    <t>我以前很胖，現在變瘦了</t>
  </si>
  <si>
    <t>我/以前/胖/現在/瘦/竹子</t>
  </si>
  <si>
    <t>https://twtsl.ccu.edu.tw/sentence/p/S-past.mp4</t>
  </si>
  <si>
    <t>074d7e8dc8dbc2fbc84db6f0fee491a64b6fe4f7c31cb80850be7ec36e669daf</t>
  </si>
  <si>
    <t>TWS0382</t>
  </si>
  <si>
    <t>忍受</t>
  </si>
  <si>
    <t>剛剛忍不住笑了起來</t>
  </si>
  <si>
    <t>剛剛/忍耐/笑/忍耐/不能</t>
  </si>
  <si>
    <t>https://twtsl.ccu.edu.tw/sentence/p/S-patient.mp4</t>
  </si>
  <si>
    <t>9c91805a430abcaeee7846875d7508889693d6dca5e75de36036d2a05cd83898</t>
  </si>
  <si>
    <t>TWS0383</t>
  </si>
  <si>
    <t>看穿</t>
  </si>
  <si>
    <t>警察識破犯人的計謀</t>
  </si>
  <si>
    <t>他/壞人/他/設計/他/警察/看穿/破</t>
  </si>
  <si>
    <t>https://twtsl.ccu.edu.tw/sentence/p/S-penetrate.mp4</t>
  </si>
  <si>
    <t>728651a932315a16bd9e1165c4c9aaf94dbf8f60a46a2c83e77d8e7353b966f0</t>
  </si>
  <si>
    <t>TWS0384</t>
  </si>
  <si>
    <t>完美</t>
  </si>
  <si>
    <t>這是標準答案</t>
  </si>
  <si>
    <t>這/答案/標準</t>
  </si>
  <si>
    <t>https://twtsl.ccu.edu.tw/sentence/p/S-perfect.mp4</t>
  </si>
  <si>
    <t>420b8a07732ac1f9c9552abb169dac8dc3946360174c69b1edf688aa74b6d601</t>
  </si>
  <si>
    <t>TWS0385</t>
  </si>
  <si>
    <t>人_B</t>
  </si>
  <si>
    <t>那邊有兩個人</t>
  </si>
  <si>
    <t>那/兩個/人/那</t>
  </si>
  <si>
    <t>https://twtsl.ccu.edu.tw/sentence/p/S-person_b.mp4</t>
  </si>
  <si>
    <t>da024afc21819fe06225519d7550a8e143069b46300f8bb4c7428e21a5d08d08</t>
  </si>
  <si>
    <t>TWS0386</t>
  </si>
  <si>
    <t>運動_A</t>
  </si>
  <si>
    <t>我喜歡運動</t>
  </si>
  <si>
    <t>運動/我/喜歡</t>
  </si>
  <si>
    <t>https://twtsl.ccu.edu.tw/sentence/p/S-physical.mp4</t>
  </si>
  <si>
    <t>c0dd691bacea1ed64f3849705c43caefa2ac505998d5f08d7b6cae3e81a157a3</t>
  </si>
  <si>
    <t>TWS0387</t>
  </si>
  <si>
    <t>每個星期三要運動</t>
  </si>
  <si>
    <t>每/星期三/運動/要</t>
  </si>
  <si>
    <t>https://twtsl.ccu.edu.tw/sentence/p/S-physical_2.mp4</t>
  </si>
  <si>
    <t>be2fe3b41859ba7e1b3bcf831d8136a0a9f1137e595b73c0c6d1b8fac9534610</t>
  </si>
  <si>
    <t>TWS0388</t>
  </si>
  <si>
    <t>約_A</t>
  </si>
  <si>
    <t>新年前記得先訂火車票</t>
  </si>
  <si>
    <t>新年/前/火車/票/首先/訂/記得</t>
  </si>
  <si>
    <t>https://twtsl.ccu.edu.tw/sentence/p/S-place_an_order.mp4</t>
  </si>
  <si>
    <t>d8ed10ffdd4508c206d3a3f541a537eb69c537e10fcc77d1d869202329949507</t>
  </si>
  <si>
    <t>TWS0389</t>
  </si>
  <si>
    <t>計畫_B</t>
  </si>
  <si>
    <t>他計畫明年去滑雪</t>
  </si>
  <si>
    <t>他/計畫/明年/去/雪/滑雪</t>
  </si>
  <si>
    <t>https://twtsl.ccu.edu.tw/sentence/p/S-plan_b.mp4</t>
  </si>
  <si>
    <t>a148694116d5abceafa84d3d55a7dbc61b10fa5c308379c9c18b1ffa9418d580</t>
  </si>
  <si>
    <t>TWS0390</t>
  </si>
  <si>
    <t>種</t>
  </si>
  <si>
    <t>農夫在田裡種了各種各樣的水果</t>
  </si>
  <si>
    <t>田/農夫/種/水果/各式各樣</t>
  </si>
  <si>
    <t>https://twtsl.ccu.edu.tw/sentence/p/S-plant_verb.mp4</t>
  </si>
  <si>
    <t>e1e5b85e2341dbda0d2b9af35d03cefe6e3af5a934972285a3ed25d9f9d8bb67</t>
  </si>
  <si>
    <t>TWS0391</t>
  </si>
  <si>
    <t>請</t>
  </si>
  <si>
    <t>請再說一次</t>
  </si>
  <si>
    <t>請/再/說/請/再/說/再/一</t>
  </si>
  <si>
    <t>https://twtsl.ccu.edu.tw/sentence/p/S-please.mp4</t>
  </si>
  <si>
    <t>5fd4af548343220d9d17baa9b58fa3fd92c4eb532a0d24d926e57afa4424bbe1</t>
  </si>
  <si>
    <t>TWS0392</t>
  </si>
  <si>
    <t>警察</t>
  </si>
  <si>
    <t>警察是人民保母</t>
  </si>
  <si>
    <t>社會/他們/警察/保護/是</t>
  </si>
  <si>
    <t>https://twtsl.ccu.edu.tw/sentence/p/S-policeman.mp4</t>
  </si>
  <si>
    <t>a887775f4c8af8a051d8ddc9ddc25872dfc02243b7f12b4b3a780885b2703943</t>
  </si>
  <si>
    <t>TWS0393</t>
  </si>
  <si>
    <t>郵局_A</t>
  </si>
  <si>
    <t>弟弟去郵局寄信</t>
  </si>
  <si>
    <t>弟弟/寄信/這/去/這/郵局</t>
  </si>
  <si>
    <t>https://twtsl.ccu.edu.tw/sentence/p/S-post_office_a.mp4</t>
  </si>
  <si>
    <t>a7bc979b127a346221b92fe553e389b24968540f4cb34da8203eecd44b1532b1</t>
  </si>
  <si>
    <t>TWS0394</t>
  </si>
  <si>
    <t>練習</t>
  </si>
  <si>
    <t>每天練習就會進步</t>
  </si>
  <si>
    <t>每天/練習/進步/會</t>
  </si>
  <si>
    <t>https://twtsl.ccu.edu.tw/sentence/p/S-practice.mp4</t>
  </si>
  <si>
    <t>70d271004066e7211490ef529ce1d22391d78f534fb511b04a234728b4f4e333</t>
  </si>
  <si>
    <t>TWS0395</t>
  </si>
  <si>
    <t>準備</t>
  </si>
  <si>
    <t>我需要做比賽前的準備</t>
  </si>
  <si>
    <t>比賽/我/準備/要</t>
  </si>
  <si>
    <t>https://twtsl.ccu.edu.tw/sentence/p/S-prepare.mp4</t>
  </si>
  <si>
    <t>9c1407d76e69f2e02a333c2c8e9948ff41e15a9f74a18336005456b9469a7c25</t>
  </si>
  <si>
    <t>TWS0396</t>
  </si>
  <si>
    <t>問題</t>
  </si>
  <si>
    <t>他解決了這道數學問題</t>
  </si>
  <si>
    <t>這/數學/問題/他/解決/行</t>
  </si>
  <si>
    <t>https://twtsl.ccu.edu.tw/sentence/p/S-problem.mp4</t>
  </si>
  <si>
    <t>07c096a65088846888658630caa6bb9d284875c2b01c7b69c54f9c15aede7e84</t>
  </si>
  <si>
    <t>TWS0397</t>
  </si>
  <si>
    <t>沒有解決不了的問題</t>
  </si>
  <si>
    <t>問題/一筆勾銷/難/沒有</t>
  </si>
  <si>
    <t>https://twtsl.ccu.edu.tw/sentence/p/S-problem_2.mp4</t>
  </si>
  <si>
    <t>9370acc7f7a7760b7c06dc81520993e902ef2ca0d81ac771d79ad5126367717d</t>
  </si>
  <si>
    <t>TWS0398</t>
  </si>
  <si>
    <t>節目_B</t>
  </si>
  <si>
    <t>這個節目很好看</t>
  </si>
  <si>
    <t>這/節目/看/棒</t>
  </si>
  <si>
    <t>https://twtsl.ccu.edu.tw/sentence/p/S-program.mp4</t>
  </si>
  <si>
    <t>4f2a0eff1f68e8d89e924a0740543342a072e69a0d9bc2a2778fdf069e649726</t>
  </si>
  <si>
    <t>TWS0399</t>
  </si>
  <si>
    <t>進步</t>
  </si>
  <si>
    <t>他的中文進步很多</t>
  </si>
  <si>
    <t>他/中文/進步</t>
  </si>
  <si>
    <t>https://twtsl.ccu.edu.tw/sentence/p/S-progress.mp4</t>
  </si>
  <si>
    <t>24432f8caae683bef07c5650da5e50bb21fee64e9aeadb362371ba19fe402294</t>
  </si>
  <si>
    <t>TWS0400</t>
  </si>
  <si>
    <t>保護</t>
  </si>
  <si>
    <t>老舊建築必須保留原狀</t>
  </si>
  <si>
    <t>大樓/舊/古/保護/依然/一樣</t>
  </si>
  <si>
    <t>https://twtsl.ccu.edu.tw/sentence/p/S-protect.mp4</t>
  </si>
  <si>
    <t>b9691a15b4bd85a41e3171aaaa5252d70d5dd309b04b30b2293a3b32644af3d6</t>
  </si>
  <si>
    <t>TWS0401</t>
  </si>
  <si>
    <t>拉</t>
  </si>
  <si>
    <t>他把我拉過去</t>
  </si>
  <si>
    <t>他/拉我</t>
  </si>
  <si>
    <t>https://twtsl.ccu.edu.tw/sentence/p/S-pull.mp4</t>
  </si>
  <si>
    <t>2cb3c3ed361e553fa6b357901bd4085227bf1c05f4aee59e3a85e59df75aebdb</t>
  </si>
  <si>
    <t>TWS0402</t>
  </si>
  <si>
    <t>推</t>
  </si>
  <si>
    <t>他推我下去池子裡</t>
  </si>
  <si>
    <t>池/這/池/他/我/他/我/他/推</t>
  </si>
  <si>
    <t>https://twtsl.ccu.edu.tw/sentence/p/S-push.mp4</t>
  </si>
  <si>
    <t>87c83f68cf09853f3edd7617cca79e78ddbb7458335394fb9d37bfe2499ce644</t>
  </si>
  <si>
    <t>TWS0403</t>
  </si>
  <si>
    <t>安靜</t>
  </si>
  <si>
    <t>電影/看/講/安靜/依然</t>
  </si>
  <si>
    <t>https://twtsl.ccu.edu.tw/sentence/q/S-quiet.mp4</t>
  </si>
  <si>
    <t>5b0f86c28a9138dace5dc5c0f17fb0d09cfb70c2acfce77e97905e1961e5a5dc</t>
  </si>
  <si>
    <t>TWS0404</t>
  </si>
  <si>
    <t>下雨</t>
  </si>
  <si>
    <t>外面下雨了</t>
  </si>
  <si>
    <t>外面/下雨</t>
  </si>
  <si>
    <t>https://twtsl.ccu.edu.tw/sentence/r/S-rain.mp4</t>
  </si>
  <si>
    <t>34ae4da3ce011cd6ba3961566e04a33088c00a33436b388932245c333db0e537</t>
  </si>
  <si>
    <t>TWS0405</t>
  </si>
  <si>
    <t>下雨不能出門</t>
  </si>
  <si>
    <t>下雨/出/不能</t>
  </si>
  <si>
    <t>https://twtsl.ccu.edu.tw/sentence/r/S-rain_2.mp4</t>
  </si>
  <si>
    <t>70f2e029e6e2ee99af0bca77ce18a14cec8b27111c371c6d187afd8ecd0a4c5c</t>
  </si>
  <si>
    <t>TWS0406</t>
  </si>
  <si>
    <t>回憶</t>
  </si>
  <si>
    <t>盒子裡的老照片是珍貴的回憶</t>
  </si>
  <si>
    <t>盒子/這/舊/古老/照片/珍惜/保護/以前</t>
  </si>
  <si>
    <t>https://twtsl.ccu.edu.tw/sentence/r/S-recall.mp4</t>
  </si>
  <si>
    <t>8ab2b7b99e748f44a0434a1eb87a638220765d8d7bfe2005b0d53c95ee76ba99</t>
  </si>
  <si>
    <t>TWS0407</t>
  </si>
  <si>
    <t>過去的最近</t>
  </si>
  <si>
    <t>我最近買了一部電腦</t>
  </si>
  <si>
    <t>電腦/我/過去的最近/買</t>
  </si>
  <si>
    <t>https://twtsl.ccu.edu.tw/sentence/r/S-recent_past.mp4</t>
  </si>
  <si>
    <t>a052bd07615ace0ec8946a35159ad1bb9dd279307d289bbbb4ec0c132bcc069d</t>
  </si>
  <si>
    <t>TWS0408</t>
  </si>
  <si>
    <t>紅_N</t>
  </si>
  <si>
    <t>所有動物的血都是紅色的，是吧?</t>
  </si>
  <si>
    <t>動物/這些/紅/血/全部/紅/是</t>
  </si>
  <si>
    <t>https://twtsl.ccu.edu.tw/sentence/r/S-red_n.mp4</t>
  </si>
  <si>
    <t>b2f56d5cdcd448843f8623199394bcbd611868e04e81341783f4311ae3d12f9c</t>
  </si>
  <si>
    <t>TWS0409</t>
  </si>
  <si>
    <t>冰箱</t>
  </si>
  <si>
    <t>媽媽把紙條貼在冰箱上</t>
  </si>
  <si>
    <t>媽媽/紙/寫/冰箱/貼上</t>
  </si>
  <si>
    <t>https://twtsl.ccu.edu.tw/sentence/r/S-refrigerator.mp4</t>
  </si>
  <si>
    <t>6cca0fb2a6e248ef3f8af196fc3d7284d25354c3f4c4c0cb07d519975364b272</t>
  </si>
  <si>
    <t>TWS0410</t>
  </si>
  <si>
    <t>防禦</t>
  </si>
  <si>
    <t>全台灣的人民都想阻擋新冠狀病毒散播</t>
  </si>
  <si>
    <t>台灣/全台灣/心/一樣/想/一樣/什麼/這/新冠狀病毒/傳播/這/擋</t>
  </si>
  <si>
    <t>https://twtsl.ccu.edu.tw/sentence/r/S-refuse.mp4</t>
  </si>
  <si>
    <t>49b6f065d57f4fbef86e47ac3d2682021a087ade90ae067b35d9f6247ebc4f28</t>
  </si>
  <si>
    <t>TWS0411</t>
  </si>
  <si>
    <t>餐廳_B</t>
  </si>
  <si>
    <t>這家餐廳生意很好</t>
  </si>
  <si>
    <t>這/餐廳/人/湧入/棒</t>
  </si>
  <si>
    <t>https://twtsl.ccu.edu.tw/sentence/r/S-restaurant_b.mp4</t>
  </si>
  <si>
    <t>1ca29136f6b3f488938aa7f6b3f7628a4efa7ed8101c15ac4ab7699304f2e4c6</t>
  </si>
  <si>
    <t>TWS0412</t>
  </si>
  <si>
    <t>轉</t>
  </si>
  <si>
    <t>地球繞著太陽轉</t>
  </si>
  <si>
    <t>太陽/地球/繞著太陽轉</t>
  </si>
  <si>
    <t>https://twtsl.ccu.edu.tw/sentence/r/S-revolve.mp4</t>
  </si>
  <si>
    <t>fef3c2f430f71d2d844a762dc41d6beae655bfc3b19c929a9d50d597f60d8ee8</t>
  </si>
  <si>
    <t>TWS0413</t>
  </si>
  <si>
    <t>米</t>
  </si>
  <si>
    <t>米是台灣的主食</t>
  </si>
  <si>
    <t>台灣/吃/大部分/什麼/米</t>
  </si>
  <si>
    <t>https://twtsl.ccu.edu.tw/sentence/r/S-rice_a.mp4</t>
  </si>
  <si>
    <t>14a59b322af3a3c647b82d13dcdb1621ffb09287ed564905664e88f2f61c1721</t>
  </si>
  <si>
    <t>TWS0414</t>
  </si>
  <si>
    <t>有錢</t>
  </si>
  <si>
    <t>他很有錢，到處亂花</t>
  </si>
  <si>
    <t>他/豐富/有錢/花錢(到處)</t>
  </si>
  <si>
    <t>https://twtsl.ccu.edu.tw/sentence/r/S-rich.mp4</t>
  </si>
  <si>
    <t>8e4901e4fc8e363453649bca2b608a912e282b6a6167f1747013755128c69f9d</t>
  </si>
  <si>
    <t>TWS0415</t>
  </si>
  <si>
    <t>河</t>
  </si>
  <si>
    <t>河邊有許多野花</t>
  </si>
  <si>
    <t>河/邊/自/花/開花/多</t>
  </si>
  <si>
    <t>https://twtsl.ccu.edu.tw/sentence/r/S-river_a.mp4</t>
  </si>
  <si>
    <t>2f8ec4c23f8a4a413ee5f39770f6af91ec7039e631a765a958160d9b7d450579</t>
  </si>
  <si>
    <t>TWS0416</t>
  </si>
  <si>
    <t>路</t>
  </si>
  <si>
    <t>這條道路是新的</t>
  </si>
  <si>
    <t>這/道路/這/新/這</t>
  </si>
  <si>
    <t>https://twtsl.ccu.edu.tw/sentence/r/S-road.mp4</t>
  </si>
  <si>
    <t>b0f6798c1cd89076cbbe8c6bcfae1fe4897d08f2a5d9a916b52c5525a0b3656e</t>
  </si>
  <si>
    <t>TWS0417</t>
  </si>
  <si>
    <t>平交道</t>
  </si>
  <si>
    <t>剛剛弟弟跨越了平交道</t>
  </si>
  <si>
    <t>剛剛/平交道/弟弟/剛剛/跨越/走</t>
  </si>
  <si>
    <t>https://twtsl.ccu.edu.tw/sentence/r/S-road_junction.mp4</t>
  </si>
  <si>
    <t>92eb72c2aed1740e0ebe0b23f3b1bb47a8cb5803fddff3446a6611da922a5232</t>
  </si>
  <si>
    <t>TWS0418</t>
  </si>
  <si>
    <t>搶_A</t>
  </si>
  <si>
    <t>妹妹搶了弟弟玩具</t>
  </si>
  <si>
    <t>弟弟/玩/他們倆/妹妹/搶</t>
  </si>
  <si>
    <t>https://twtsl.ccu.edu.tw/sentence/r/S-rob_a.mp4</t>
  </si>
  <si>
    <t>bf7a198275728dd92880c8dbe43b9a9297b7c1c757c0140e0fc47bb35bb337bf</t>
  </si>
  <si>
    <t>TWS0419</t>
  </si>
  <si>
    <t>鹹_N</t>
  </si>
  <si>
    <t>每日鹽巴要適中而不過量</t>
  </si>
  <si>
    <t>每天/鹽/中/過/不</t>
  </si>
  <si>
    <t>https://twtsl.ccu.edu.tw/sentence/s/S-salt_n.mp4</t>
  </si>
  <si>
    <t>f6e742b2dd6f43875eb756d6ff2aadd3612680ed0395ea2228065d011f0fa476</t>
  </si>
  <si>
    <t>TWS0420</t>
  </si>
  <si>
    <t>一樣</t>
  </si>
  <si>
    <t>他走了一圈，又回到了原點</t>
  </si>
  <si>
    <t>他/走一圈/這/回/一樣</t>
  </si>
  <si>
    <t>https://twtsl.ccu.edu.tw/sentence/s/S-same.mp4</t>
  </si>
  <si>
    <t>920e13000bddbf70bb0a8b632f317219a482736770791306c1b255e6e19f0d73</t>
  </si>
  <si>
    <t>TWS0421</t>
  </si>
  <si>
    <t>他們兄弟長的一樣</t>
  </si>
  <si>
    <t>他倆/哥哥/弟弟/臉/一樣</t>
  </si>
  <si>
    <t>https://twtsl.ccu.edu.tw/sentence/s/S-same_2.mp4</t>
  </si>
  <si>
    <t>91d75be1ce8a80dbd1e2cc0a433f6c65a3ed01bb25e5f8a43ba9c582de237397</t>
  </si>
  <si>
    <t>TWS0422</t>
  </si>
  <si>
    <t>TWS0422 | TWS0511</t>
  </si>
  <si>
    <t>學校</t>
  </si>
  <si>
    <t>從我家到學校很遠</t>
  </si>
  <si>
    <t>學校/我/家/很遠</t>
  </si>
  <si>
    <t>https://twtsl.ccu.edu.tw/sentence/s/S-school.mp4</t>
  </si>
  <si>
    <t>cd244c4df6bdc9e45e1e24860929b6f70b24c82b1069415725cd694697ce78c4</t>
  </si>
  <si>
    <t>TWS0423</t>
  </si>
  <si>
    <t>這間學校剛蓋好</t>
  </si>
  <si>
    <t>這/學校/建設/剛剛/建設</t>
  </si>
  <si>
    <t>https://twtsl.ccu.edu.tw/sentence/s/S-school_2.mp4</t>
  </si>
  <si>
    <t>aceb00c5c06057bb9a0d6bcc043598d6a9146986ab7495784bebfe85610b5384</t>
  </si>
  <si>
    <t>TWS0424</t>
  </si>
  <si>
    <t>罵_A</t>
  </si>
  <si>
    <t>媽媽一直罵弟弟</t>
  </si>
  <si>
    <t>弟弟/媽媽/罵</t>
  </si>
  <si>
    <t>https://twtsl.ccu.edu.tw/sentence/s/S-scold_a.mp4</t>
  </si>
  <si>
    <t>e5e6c46006b8ca5b733e0d01a1d74100c0b5f7849a1ee4aefbb340820b7b35a2</t>
  </si>
  <si>
    <t>TWS0425</t>
  </si>
  <si>
    <t>海</t>
  </si>
  <si>
    <t>地球表面的70%由海洋覆蓋</t>
  </si>
  <si>
    <t>地球/百分之七十/海/包</t>
  </si>
  <si>
    <t>https://twtsl.ccu.edu.tw/sentence/s/S-sea.mp4</t>
  </si>
  <si>
    <t>eb0cf9ac7cf6302871716c9c7d6c81dafd12c19f926170b7efc3a2f5809d045f</t>
  </si>
  <si>
    <t>TWS0426</t>
  </si>
  <si>
    <t>見</t>
  </si>
  <si>
    <t>他瞄了我一眼</t>
  </si>
  <si>
    <t>他/見我</t>
  </si>
  <si>
    <t>https://twtsl.ccu.edu.tw/sentence/s/S-see.mp4</t>
  </si>
  <si>
    <t>4348f97ab8f7d146e4c763f91475fc8b64846f1a3d982d6225b4b352aa628a6e</t>
  </si>
  <si>
    <t>TWS0427</t>
  </si>
  <si>
    <t>自己_N</t>
  </si>
  <si>
    <t>我自己一個人逛街</t>
  </si>
  <si>
    <t>我/自己/一/去/路/消遣</t>
  </si>
  <si>
    <t>https://twtsl.ccu.edu.tw/sentence/s/S-self_n.mp4</t>
  </si>
  <si>
    <t>597c100aab446dad856da5e108fa7a9582892b0e08e4116cf59a9612a31541ed</t>
  </si>
  <si>
    <t>TWS0428</t>
  </si>
  <si>
    <t>自己_S</t>
  </si>
  <si>
    <t>我/自己/去/路/消遣</t>
  </si>
  <si>
    <t>https://twtsl.ccu.edu.tw/sentence/s/S-self_s.mp4</t>
  </si>
  <si>
    <t>461471ae92db5a20bf36fd5f51a05b7e09ff33f16c80592edda1d62177ca3a11</t>
  </si>
  <si>
    <t>TWS0429</t>
  </si>
  <si>
    <t>售</t>
  </si>
  <si>
    <t>那棟大樓一層樓要賣一千萬</t>
  </si>
  <si>
    <t>那/大樓/一層/一/賣/一千萬</t>
  </si>
  <si>
    <t>https://twtsl.ccu.edu.tw/sentence/s/S-sell.mp4</t>
  </si>
  <si>
    <t>1971c329dd18b7d2208d8c6658a9820d409c7592826b12bec128c8151215bf41</t>
  </si>
  <si>
    <t>TWS0430</t>
  </si>
  <si>
    <t>他把房子賣了</t>
  </si>
  <si>
    <t>他/房子/賣</t>
  </si>
  <si>
    <t>https://twtsl.ccu.edu.tw/sentence/s/S-sell_2.mp4</t>
  </si>
  <si>
    <t>fea9b7fa79b93c61212a76e59257812cb3853a37669b4634bf621b2b0c32463b</t>
  </si>
  <si>
    <t>TWS0431</t>
  </si>
  <si>
    <t>七</t>
  </si>
  <si>
    <t>一個禮拜有七天</t>
  </si>
  <si>
    <t>一週/多少/七/天</t>
  </si>
  <si>
    <t>https://twtsl.ccu.edu.tw/sentence/s/S-seven.mp4</t>
  </si>
  <si>
    <t>58df927b1e2e4efc17c0314e22b0070134bf40c7f12c230b3759c5457e437296</t>
  </si>
  <si>
    <t>TWS0432</t>
  </si>
  <si>
    <t>握手</t>
  </si>
  <si>
    <t>剛剛我跟總統握手</t>
  </si>
  <si>
    <t>剛剛/總統/我/握手</t>
  </si>
  <si>
    <t>https://twtsl.ccu.edu.tw/sentence/s/S-shake_hands.mp4</t>
  </si>
  <si>
    <t>936565c786ab84772d076d8ea6fcbd60f7d94e1908943a7b7e4abee63fb44ad0</t>
  </si>
  <si>
    <t>TWS0433</t>
  </si>
  <si>
    <t>鞋子_N</t>
  </si>
  <si>
    <t>這雙鞋子穿起來很舒適</t>
  </si>
  <si>
    <t>這/鞋子/穿鞋子/舒服</t>
  </si>
  <si>
    <t>https://twtsl.ccu.edu.tw/sentence/s/S-shoe_n.mp4</t>
  </si>
  <si>
    <t>4d241db7ee64170d32beb48a856fbef2c5177e37baa4733678ce8a962c3c7331</t>
  </si>
  <si>
    <t>TWS0434</t>
  </si>
  <si>
    <t>近</t>
  </si>
  <si>
    <t>我們兩個離得很近</t>
  </si>
  <si>
    <t>我們兩個/地方/近</t>
  </si>
  <si>
    <t>https://twtsl.ccu.edu.tw/sentence/s/S-short_b.mp4</t>
  </si>
  <si>
    <t>20087a241f8db57363aa6daeed306178e0543b34e42b2505d6717c1b6b43fc8d</t>
  </si>
  <si>
    <t>TWS0435</t>
  </si>
  <si>
    <t>拮据_B</t>
  </si>
  <si>
    <t>最近生活很拮据</t>
  </si>
  <si>
    <t>將來的最近/生活/拮据</t>
  </si>
  <si>
    <t>https://twtsl.ccu.edu.tw/sentence/s/S-short_of_money.mp4</t>
  </si>
  <si>
    <t>bb220c23c7fd6a35170e3a78b4d5db63dc94f1e9e1359fc11b21536ddb0e73ff</t>
  </si>
  <si>
    <t>TWS0436</t>
  </si>
  <si>
    <t>應該</t>
  </si>
  <si>
    <t>互相幫忙是應該的</t>
  </si>
  <si>
    <t>幫忙/互相/應該/棒</t>
  </si>
  <si>
    <t>https://twtsl.ccu.edu.tw/sentence/s/S-should.mp4</t>
  </si>
  <si>
    <t>7d6dfc4202e4dd43fc1bcc1acee814f21d921f140a35864078af5c990c336ce4</t>
  </si>
  <si>
    <t>TWS0437</t>
  </si>
  <si>
    <t>生病</t>
  </si>
  <si>
    <t>妹妹生病了</t>
  </si>
  <si>
    <t>妹妹/生病</t>
  </si>
  <si>
    <t>https://twtsl.ccu.edu.tw/sentence/s/S-sick.mp4</t>
  </si>
  <si>
    <t>68edb7e533de8b0ecacdb2051278ea9ca62f8ecf7f7f8e28485ffb1e49e3fa53</t>
  </si>
  <si>
    <t>TWS0438</t>
  </si>
  <si>
    <t>如同</t>
  </si>
  <si>
    <t>兒子長得很像爸爸</t>
  </si>
  <si>
    <t>兒子/他/爸爸/他倆/臉/像</t>
  </si>
  <si>
    <t>https://twtsl.ccu.edu.tw/sentence/s/S-similar.mp4</t>
  </si>
  <si>
    <t>44ec5af587bb54746bad4a161b4b7ca41120d4c516723412fda229529a645ca6</t>
  </si>
  <si>
    <t>TWS0439</t>
  </si>
  <si>
    <t>以為</t>
  </si>
  <si>
    <t>你以為我不會手語嗎</t>
  </si>
  <si>
    <t>你/以為/我/手語/不會</t>
  </si>
  <si>
    <t>https://twtsl.ccu.edu.tw/sentence/s/S-similar_a.mp4</t>
  </si>
  <si>
    <t>d0f6fc08ab84f81c9b5a2ab2f515744db80f9116513723dd8ada084676b02193</t>
  </si>
  <si>
    <t>TWS0440</t>
  </si>
  <si>
    <t>唱</t>
  </si>
  <si>
    <t>弟弟喜歡聽歌曲(音樂)</t>
  </si>
  <si>
    <t>聽/歌/弟弟/喜歡</t>
  </si>
  <si>
    <t>https://twtsl.ccu.edu.tw/sentence/s/S-sing.mp4</t>
  </si>
  <si>
    <t>4da36b30ccc0650ee73eed11c40f1930b36c051481fbcf7f75e0661ef858c7b0</t>
  </si>
  <si>
    <t>TWS0441</t>
  </si>
  <si>
    <t>坐</t>
  </si>
  <si>
    <t>你坐在這裡等我</t>
  </si>
  <si>
    <t>你/這/坐/等</t>
  </si>
  <si>
    <t>https://twtsl.ccu.edu.tw/sentence/s/S-sit.mp4</t>
  </si>
  <si>
    <t>aed47447751e5048468cad8ecfeacd8794996bbcd1f08ec456ac27a5a4671760</t>
  </si>
  <si>
    <t>TWS0442</t>
  </si>
  <si>
    <t>滑雪</t>
  </si>
  <si>
    <t>滑雪是冬季奧運的比賽項目之一</t>
  </si>
  <si>
    <t>雪/滑雪/這/冬奧/裡/種類/一</t>
  </si>
  <si>
    <t>https://twtsl.ccu.edu.tw/sentence/s/S-skiing.mp4</t>
  </si>
  <si>
    <t>9bbe6be66a3cd6012932507430ac36a5c7992a7c0071f77d488b60a78e5c94b8</t>
  </si>
  <si>
    <t>TWS0443</t>
  </si>
  <si>
    <t>皮</t>
  </si>
  <si>
    <t>用動物皮製作產品很殘忍</t>
  </si>
  <si>
    <t>動物/皮/做/那/哭/殘忍</t>
  </si>
  <si>
    <t>https://twtsl.ccu.edu.tw/sentence/s/S-skin.mp4</t>
  </si>
  <si>
    <t>49508c105202ac8de35f6b4814f4838e693d6398f1b6870d7ecfb673b71fe354</t>
  </si>
  <si>
    <t>TWS0444</t>
  </si>
  <si>
    <t>天_A</t>
  </si>
  <si>
    <t>天上一點雲都沒有</t>
  </si>
  <si>
    <t>天/那/雲/空/沒有</t>
  </si>
  <si>
    <t>https://twtsl.ccu.edu.tw/sentence/s/S-sky.mp4</t>
  </si>
  <si>
    <t>c84914723d8df3498e8556b1673bc3e91709956c3c5eb846c0361e01508fd812</t>
  </si>
  <si>
    <t>TWS0445</t>
  </si>
  <si>
    <t>睡_A</t>
  </si>
  <si>
    <t>他睡著了</t>
  </si>
  <si>
    <t>他/睡</t>
  </si>
  <si>
    <t>https://twtsl.ccu.edu.tw/sentence/s/S-sleep_a.mp4</t>
  </si>
  <si>
    <t>9c5cb5445022d071d190c8078203d438c9162370df911f40b0bfdef8bb452934</t>
  </si>
  <si>
    <t>TWS0446</t>
  </si>
  <si>
    <t>為了這份計劃，他已經好幾天沒睡覺了</t>
  </si>
  <si>
    <t>這/我/關係/這/計畫/這/幾天/全/睡/沒有</t>
  </si>
  <si>
    <t>https://twtsl.ccu.edu.tw/sentence/s/S-sleep_a_2.mp4</t>
  </si>
  <si>
    <t>fe08c83272db53f744059a8ec921c8f022d2bb336a1b65b044a6b26966b8d3b2</t>
  </si>
  <si>
    <t>TWS0447</t>
  </si>
  <si>
    <t>慢_N</t>
  </si>
  <si>
    <t>天雨路滑,慢慢走</t>
  </si>
  <si>
    <t>那/下雨/這/路/滑/你/走/慢</t>
  </si>
  <si>
    <t>https://twtsl.ccu.edu.tw/sentence/s/S-slow_n.mp4</t>
  </si>
  <si>
    <t>6c6cb2e3d5f05e27a82c85dc0bae0dfb250190e0d44bd09b15e65aaa54691335</t>
  </si>
  <si>
    <t>TWS0448</t>
  </si>
  <si>
    <t>臭</t>
  </si>
  <si>
    <t>這一個容器中的這一顆蘋果壞掉了</t>
  </si>
  <si>
    <t>這/容器/這些/蘋果/一顆顆/這/這一顆/壞/臭/這</t>
  </si>
  <si>
    <t>https://twtsl.ccu.edu.tw/sentence/s/S-smelly.mp4</t>
  </si>
  <si>
    <t>5dd7d151cb78319337ad72683163dc5eb9091a5ad3057fe14726e0ae3c12a8a6</t>
  </si>
  <si>
    <t>TWS0449</t>
  </si>
  <si>
    <t>襪子</t>
  </si>
  <si>
    <t>爸爸的襪子很多</t>
  </si>
  <si>
    <t>爸爸/襪子/數量/多</t>
  </si>
  <si>
    <t>https://twtsl.ccu.edu.tw/sentence/s/S-socks.mp4</t>
  </si>
  <si>
    <t>57d60ca22f51bb5e9104ad6c00c698acdf29e2eedf2b5f6ce976d4b398959762</t>
  </si>
  <si>
    <t>TWS0450</t>
  </si>
  <si>
    <t>對不起</t>
  </si>
  <si>
    <t>他向媽媽說對不起</t>
  </si>
  <si>
    <t>他/媽媽/我/向/媽媽/對不起</t>
  </si>
  <si>
    <t>https://twtsl.ccu.edu.tw/sentence/s/S-sorry.mp4</t>
  </si>
  <si>
    <t>37e404ac8885e09253e9a728531609f0392be2000450bc1c965b697f95f8512b</t>
  </si>
  <si>
    <t>TWS0451</t>
  </si>
  <si>
    <t>酸_B</t>
  </si>
  <si>
    <t>這梅子很酸</t>
  </si>
  <si>
    <t>梅/這/酸/很/這</t>
  </si>
  <si>
    <t>https://twtsl.ccu.edu.tw/sentence/s/S-sour_b.mp4</t>
  </si>
  <si>
    <t>77d81412ccabfdeef7709e60d8556ec381024836d31aebf69c7deb8ca693f991</t>
  </si>
  <si>
    <t>TWS0452</t>
  </si>
  <si>
    <t>南_A</t>
  </si>
  <si>
    <t>南方比北方熱</t>
  </si>
  <si>
    <t>北/地方/南/地方/勝過/熱</t>
  </si>
  <si>
    <t>https://twtsl.ccu.edu.tw/sentence/s/S-south_a.mp4</t>
  </si>
  <si>
    <t>0e12ccb4c702913aaf16047822d3c9808f2cc6fee06f82b214d509324c5b9db6</t>
  </si>
  <si>
    <t>TWS0453</t>
  </si>
  <si>
    <t>醬油</t>
  </si>
  <si>
    <t>他把醬油倒的到處都是</t>
  </si>
  <si>
    <t>他/醬油/倒(到處)</t>
  </si>
  <si>
    <t>https://twtsl.ccu.edu.tw/sentence/s/S-soy_sauce.mp4</t>
  </si>
  <si>
    <t>f5e5fdb45c2216fdb1a9aba68937374936969444dd65529236a4b6af7ac5fd28</t>
  </si>
  <si>
    <t>TWS0454</t>
  </si>
  <si>
    <t>寬_A</t>
  </si>
  <si>
    <t>他的腳掌很寬</t>
  </si>
  <si>
    <t>他/腳掌/這/寬</t>
  </si>
  <si>
    <t>https://twtsl.ccu.edu.tw/sentence/s/S-spacious_a.mp4</t>
  </si>
  <si>
    <t>eb5e582957ed4058b51702e4a2a836c0560ec53b2a8bb0aa975a8d148b2c0df5</t>
  </si>
  <si>
    <t>TWS0455</t>
  </si>
  <si>
    <t>說話_A</t>
  </si>
  <si>
    <t>我會說三種語言</t>
  </si>
  <si>
    <t>我/說/種類/三/會</t>
  </si>
  <si>
    <t>https://twtsl.ccu.edu.tw/sentence/s/S-speak.mp4</t>
  </si>
  <si>
    <t>5ff5b123de58e17b414d40a01efcc1b0c7f256fac76c6945bd9b8d6c32082880</t>
  </si>
  <si>
    <t>TWS0456</t>
  </si>
  <si>
    <t>你講話聲音太小了</t>
  </si>
  <si>
    <t>你/說話/聲音/說話/聲音/小</t>
  </si>
  <si>
    <t>https://twtsl.ccu.edu.tw/sentence/s/S-speak_2.mp4</t>
  </si>
  <si>
    <t>959afb65c273db0b427972b23353dbe6017f7e87139b984aff4fce103719758a</t>
  </si>
  <si>
    <t>TWS0457</t>
  </si>
  <si>
    <t>演講_N</t>
  </si>
  <si>
    <t>學生喜歡聽老師講鬼故事</t>
  </si>
  <si>
    <t>老師/演講/鬼/故事/學生/他們/聽/喜歡</t>
  </si>
  <si>
    <t>https://twtsl.ccu.edu.tw/sentence/s/S-speech_n.mp4</t>
  </si>
  <si>
    <t>b29a4b532e3ed6784f9a006e94ec98a060aca6b151f13a0b6311b7e6dbb9663e</t>
  </si>
  <si>
    <t>TWS0458</t>
  </si>
  <si>
    <t>精神</t>
  </si>
  <si>
    <t>運動家精神很重要</t>
  </si>
  <si>
    <t>運動/家/精神/重/要</t>
  </si>
  <si>
    <t>https://twtsl.ccu.edu.tw/sentence/s/S-spirit.mp4</t>
  </si>
  <si>
    <t>7ed4481dfe6065d14d9dcdaff1b81619d09f574477344d6d90cde324889260f7</t>
  </si>
  <si>
    <t>TWS0459</t>
  </si>
  <si>
    <t>郵票</t>
  </si>
  <si>
    <t>信封上面要貼郵票</t>
  </si>
  <si>
    <t>信/信封/信封的左上方/郵票/貼/信封的左上方</t>
  </si>
  <si>
    <t>https://twtsl.ccu.edu.tw/sentence/s/S-stamp.mp4</t>
  </si>
  <si>
    <t>ae83e44d94db4aa2cfd968fd7c2410d820d19acde31443096639f936116fd728</t>
  </si>
  <si>
    <t>TWS0460</t>
  </si>
  <si>
    <t>站</t>
  </si>
  <si>
    <t>我被罰站好久</t>
  </si>
  <si>
    <t>我/罰我/站/等</t>
  </si>
  <si>
    <t>https://twtsl.ccu.edu.tw/sentence/s/S-stand.mp4</t>
  </si>
  <si>
    <t>38e2d91dfa1898071a4da5fb91c74c84aa868eb21b8b718fc8c59fb1f03e6974</t>
  </si>
  <si>
    <t>TWS0461</t>
  </si>
  <si>
    <t>打開</t>
  </si>
  <si>
    <t>他開始寫作業了</t>
  </si>
  <si>
    <t>他/表格/開始/寫</t>
  </si>
  <si>
    <t>https://twtsl.ccu.edu.tw/sentence/s/S-start.mp4</t>
  </si>
  <si>
    <t>4b387bf741a73e4e760b7e780643fec1b22c72b34841e395a3733630f3fd91e3</t>
  </si>
  <si>
    <t>TWS0462</t>
  </si>
  <si>
    <t>小偷</t>
  </si>
  <si>
    <t>我的機車被偷了</t>
  </si>
  <si>
    <t>我/機車/偷</t>
  </si>
  <si>
    <t>https://twtsl.ccu.edu.tw/sentence/s/S-steal.mp4</t>
  </si>
  <si>
    <t>6757a480cdbb8153148ae7933e0982c06062cd39cb91c40d15e2ad8194b97bbb</t>
  </si>
  <si>
    <t>TWS0463</t>
  </si>
  <si>
    <t>止</t>
  </si>
  <si>
    <t>紅燈停，綠燈行</t>
  </si>
  <si>
    <t>紅/燈/停/綠/燈/走</t>
  </si>
  <si>
    <t>https://twtsl.ccu.edu.tw/sentence/s/S-stop.mp4</t>
  </si>
  <si>
    <t>d39c975f5017afb9fccbb5d47d3acd2dc659e0fe7da12806b942947330b14370</t>
  </si>
  <si>
    <t>TWS0464</t>
  </si>
  <si>
    <t>直</t>
  </si>
  <si>
    <t>直走到底右轉就到銀行</t>
  </si>
  <si>
    <t>直/走/直/到底/右轉/這/銀行/地方</t>
  </si>
  <si>
    <t>https://twtsl.ccu.edu.tw/sentence/s/S-straight.mp4</t>
  </si>
  <si>
    <t>c72db1b4e267c857e0ed480060f22f32c961c7c7358680c46e910819ba5aee01</t>
  </si>
  <si>
    <t>TWS0465</t>
  </si>
  <si>
    <t>奇怪_N</t>
  </si>
  <si>
    <t>這道菜看起來很奇怪</t>
  </si>
  <si>
    <t>這/菜/盤子/這/奇怪</t>
  </si>
  <si>
    <t>https://twtsl.ccu.edu.tw/sentence/s/S-strange_n.mp4</t>
  </si>
  <si>
    <t>6ef6669582020c3185953a3dfd72cd8f980c7b6ce53fde511ca56123baf7c60b</t>
  </si>
  <si>
    <t>TWS0466</t>
  </si>
  <si>
    <t>奇怪_S</t>
  </si>
  <si>
    <t>那裡有奇怪的人走來走去</t>
  </si>
  <si>
    <t>那/人/奇怪/那/走來走去</t>
  </si>
  <si>
    <t>https://twtsl.ccu.edu.tw/sentence/s/S-strange_s.mp4</t>
  </si>
  <si>
    <t>799b5f5a991b417524af2f36d1cdb9924a1293bcbc1822e4c73bba356b7ba010</t>
  </si>
  <si>
    <t>TWS0467</t>
  </si>
  <si>
    <t>學生</t>
  </si>
  <si>
    <t>放學後，學生都回家了</t>
  </si>
  <si>
    <t>讀書/解散/學生/他們/回家</t>
  </si>
  <si>
    <t>https://twtsl.ccu.edu.tw/sentence/s/S-student.mp4</t>
  </si>
  <si>
    <t>cfc7f41eaeb964cb79858b55813874310a444fa39e79af1d8017282fb04d6193</t>
  </si>
  <si>
    <t>TWS0468</t>
  </si>
  <si>
    <t>所有的學生都喜歡那個老師</t>
  </si>
  <si>
    <t>這/老師/他們/學生/全部/喜歡/他</t>
  </si>
  <si>
    <t>https://twtsl.ccu.edu.tw/sentence/s/S-student_2.mp4</t>
  </si>
  <si>
    <t>baecff84cc20493be526e2838077ae9944afe17ec3c0746ad7fa890f79acd47d</t>
  </si>
  <si>
    <t>TWS0469</t>
  </si>
  <si>
    <t>代替</t>
  </si>
  <si>
    <t>他今天替我代班</t>
  </si>
  <si>
    <t>他/今天/幫我/代替/工作</t>
  </si>
  <si>
    <t>https://twtsl.ccu.edu.tw/sentence/s/S-substitute.mp4</t>
  </si>
  <si>
    <t>d74bec877d600ea43bfe6cab79c1660204bb1fd0d859c8fe37d58edd522137c9</t>
  </si>
  <si>
    <t>TWS0470</t>
  </si>
  <si>
    <t>一瞬間_A</t>
  </si>
  <si>
    <t>忽然下了雨，把每個人都淋溼了</t>
  </si>
  <si>
    <t>忽然/下雨/人/這些/淋濕</t>
  </si>
  <si>
    <t>https://twtsl.ccu.edu.tw/sentence/s/S-suddenly_a.mp4</t>
  </si>
  <si>
    <t>dda1107d8ae3a35d1090418f73e8c49ff831b25293be648e6110708fcd29dd8b</t>
  </si>
  <si>
    <t>TWS0471</t>
  </si>
  <si>
    <t>甜_N</t>
  </si>
  <si>
    <t>我不喜歡甜食</t>
  </si>
  <si>
    <t>吃/甜/吃/我/不喜歡</t>
  </si>
  <si>
    <t>https://twtsl.ccu.edu.tw/sentence/s/S-sugar_n.mp4</t>
  </si>
  <si>
    <t>b42b68a28a6b6588bac64254f64e7f9a214be02ad73d6f53b56573ff9ecd3b74</t>
  </si>
  <si>
    <t>TWS0472</t>
  </si>
  <si>
    <t>供應_A</t>
  </si>
  <si>
    <t>這封信請記得交給他</t>
  </si>
  <si>
    <t>這/信/張/信/給/他/記得</t>
  </si>
  <si>
    <t>https://twtsl.ccu.edu.tw/sentence/s/S-supply_a.mp4</t>
  </si>
  <si>
    <t>3f66e186239d4d0ed257fd5d48b8999ae3020c2616bf0ab8007d49a90efa66c8</t>
  </si>
  <si>
    <t>TWS0473</t>
  </si>
  <si>
    <t>供應_B</t>
  </si>
  <si>
    <t>旅館提供舒服的床</t>
  </si>
  <si>
    <t>舒服/床/舒服/那/旅館/那/負責/提供</t>
  </si>
  <si>
    <t>https://twtsl.ccu.edu.tw/sentence/s/S-supply_b.mp4</t>
  </si>
  <si>
    <t>1a248f51beb976148a7e06ca6e616d8b3c4e7e41dd0b3f8c2cfca57ceac6e763</t>
  </si>
  <si>
    <t>TWS0474</t>
  </si>
  <si>
    <t>游泳_A</t>
  </si>
  <si>
    <t>每天/游泳/對/身體/棒</t>
  </si>
  <si>
    <t>https://twtsl.ccu.edu.tw/sentence/s/S-swim_a.mp4</t>
  </si>
  <si>
    <t>a25074683ba7ec1c941fff7c66f973cfaeb5209c042ed90a839f89b0671d713e</t>
  </si>
  <si>
    <t>TWS0475</t>
  </si>
  <si>
    <t>桌子</t>
  </si>
  <si>
    <t>桌上的瓶子插著一朵花</t>
  </si>
  <si>
    <t>桌子/這/花瓶/花/放</t>
  </si>
  <si>
    <t>https://twtsl.ccu.edu.tw/sentence/t/S-table.mp4</t>
  </si>
  <si>
    <t>19fcde71d4babf63777ba6025f090bca5df455fb5463abd8a4ddd934a9c41f52</t>
  </si>
  <si>
    <t>TWS0476</t>
  </si>
  <si>
    <t>最後</t>
  </si>
  <si>
    <t>我是最後一個交作業的人</t>
  </si>
  <si>
    <t>你們/表格/寫/交/完成/我/最後</t>
  </si>
  <si>
    <t>https://twtsl.ccu.edu.tw/sentence/t/S-tail.mp4</t>
  </si>
  <si>
    <t>444f0edf5f1255ee314984db8da20a32580fe26db09873dfad4e614b52784b9e</t>
  </si>
  <si>
    <t>TWS0477</t>
  </si>
  <si>
    <t>台北</t>
  </si>
  <si>
    <t>我/家/台北</t>
  </si>
  <si>
    <t>https://twtsl.ccu.edu.tw/sentence/t/S-taipei.mp4</t>
  </si>
  <si>
    <t>c9795683d5aeea69e536e6b5ff54a0d36b0f606c78898952472ca69aec4ee6f3</t>
  </si>
  <si>
    <t>TWS0478</t>
  </si>
  <si>
    <t>台灣</t>
  </si>
  <si>
    <t>台灣/護士/專/業/強/技術/棒</t>
  </si>
  <si>
    <t>https://twtsl.ccu.edu.tw/sentence/t/S-taiwan.mp4</t>
  </si>
  <si>
    <t>d58b588f50b516c503b385a8225799af179422d1b4670de484d16938b9b71277</t>
  </si>
  <si>
    <t>TWS0479</t>
  </si>
  <si>
    <t>取</t>
  </si>
  <si>
    <t>他拿了我的小提琴</t>
  </si>
  <si>
    <t>我/小提琴/他/拿</t>
  </si>
  <si>
    <t>https://twtsl.ccu.edu.tw/sentence/t/S-take.mp4</t>
  </si>
  <si>
    <t>7889b287510417e18ae67602c90f57c39b381b5a7489efcfffc88370538e2bb3</t>
  </si>
  <si>
    <t>TWS0480</t>
  </si>
  <si>
    <t>照顧_A</t>
  </si>
  <si>
    <t>你要好好照顧妹妹</t>
  </si>
  <si>
    <t>妹妹/你/幫忙/照顧/要</t>
  </si>
  <si>
    <t>https://twtsl.ccu.edu.tw/sentence/t/S-take_care_of_a.mp4</t>
  </si>
  <si>
    <t>99b475985c25eb6362c0ac636f6bbcabdd2fcb4ca4bde1364d2ed8dcf6bbf06b</t>
  </si>
  <si>
    <t>TWS0481</t>
  </si>
  <si>
    <t>錄音</t>
  </si>
  <si>
    <t>請勿喧嘩，我們正在錄音</t>
  </si>
  <si>
    <t>吵鬧/不/我們/錄音</t>
  </si>
  <si>
    <t>https://twtsl.ccu.edu.tw/sentence/t/S-tape_recording.mp4</t>
  </si>
  <si>
    <t>3755b22ba5f0cc91a8e5cc76992812462846b8376d74d21b6efd2291fee12170</t>
  </si>
  <si>
    <t>TWS0482</t>
  </si>
  <si>
    <t>計程車</t>
  </si>
  <si>
    <t>我們遲到了，坐計程車去吧</t>
  </si>
  <si>
    <t>我們/遲到/去/計程車/離開</t>
  </si>
  <si>
    <t>https://twtsl.ccu.edu.tw/sentence/t/S-taxi.mp4</t>
  </si>
  <si>
    <t>404028f3debd2a98ae7840c1271f1c62887e4c15891a48a69dfa2d7941b8960f</t>
  </si>
  <si>
    <t>TWS0483</t>
  </si>
  <si>
    <t>教</t>
  </si>
  <si>
    <t>老師/正/工作/什麼/書/教</t>
  </si>
  <si>
    <t>https://twtsl.ccu.edu.tw/sentence/t/S-teach.mp4</t>
  </si>
  <si>
    <t>24007cea363591564ea63f23d8787e80884499316a44a86604798a0960bf2707</t>
  </si>
  <si>
    <t>TWS0484</t>
  </si>
  <si>
    <t>老師_S</t>
  </si>
  <si>
    <t>我的老師是台中人</t>
  </si>
  <si>
    <t>我/老師/台中/人</t>
  </si>
  <si>
    <t>https://twtsl.ccu.edu.tw/sentence/t/S-teacher_n.mp4</t>
  </si>
  <si>
    <t>bfef22f2e7d18bc1bd8e7c624d4f30bd76bc2e1c19f0a503471eee8b75deb677</t>
  </si>
  <si>
    <t>TWS0485</t>
  </si>
  <si>
    <t>老師_N</t>
  </si>
  <si>
    <t>我本來是老師</t>
  </si>
  <si>
    <t>我/原來/老師</t>
  </si>
  <si>
    <t>https://twtsl.ccu.edu.tw/sentence/t/S-teacher_s.mp4</t>
  </si>
  <si>
    <t>b596895c48f112f36714937d332168cfc45054a22258a12d2aacf9f384b85730</t>
  </si>
  <si>
    <t>TWS0486</t>
  </si>
  <si>
    <t>告訴</t>
  </si>
  <si>
    <t>他說我很漂亮</t>
  </si>
  <si>
    <t>他/告訴/我/漂亮</t>
  </si>
  <si>
    <t>https://twtsl.ccu.edu.tw/sentence/t/S-tell.mp4</t>
  </si>
  <si>
    <t>80c128e6153ad61948d92ed039175400dc4a0e5f6c67205219327d0a31a30779</t>
  </si>
  <si>
    <t>TWS0487</t>
  </si>
  <si>
    <t>他說會永遠愛我</t>
  </si>
  <si>
    <t>他/告訴我/愛/我/整天</t>
  </si>
  <si>
    <t>https://twtsl.ccu.edu.tw/sentence/t/S-tell_2.mp4</t>
  </si>
  <si>
    <t>06819e6f8c88ae7d48724406c2883b1b1cf82eaf8568b6917e18696b9a32a995</t>
  </si>
  <si>
    <t>TWS0488</t>
  </si>
  <si>
    <t>萬</t>
  </si>
  <si>
    <t>新的手機要一萬元</t>
  </si>
  <si>
    <t>手機/新/錢/一/萬</t>
  </si>
  <si>
    <t>https://twtsl.ccu.edu.tw/sentence/t/S-ten_thousand.mp4</t>
  </si>
  <si>
    <t>2a0a97e706bc27d7ee04b5141787eb10c3c9fa5f83031e04bb7058de381e9c87</t>
  </si>
  <si>
    <t>TWS0489</t>
  </si>
  <si>
    <t>考_S</t>
  </si>
  <si>
    <t>今天要考英文</t>
  </si>
  <si>
    <t>今天/英文/考試S/要</t>
  </si>
  <si>
    <t>https://twtsl.ccu.edu.tw/sentence/t/S-test_b_s.mp4</t>
  </si>
  <si>
    <t>4798cf157285b7443a54db87d7ca5b9100c121958088806dc9eba2c8be4fa3c1</t>
  </si>
  <si>
    <t>TWS0490</t>
  </si>
  <si>
    <t>感謝_A</t>
  </si>
  <si>
    <t>謝謝你的幫忙</t>
  </si>
  <si>
    <t>幫忙/謝謝</t>
  </si>
  <si>
    <t>https://twtsl.ccu.edu.tw/sentence/t/S-thank_n.mp4</t>
  </si>
  <si>
    <t>c141bf9e3263216182e2eedaa409a54483497abd76e898add262379cd047694d</t>
  </si>
  <si>
    <t>TWS0491</t>
  </si>
  <si>
    <t>他倆</t>
  </si>
  <si>
    <t>他們兩個人是我的朋友</t>
  </si>
  <si>
    <t>他們兩個/我/朋友</t>
  </si>
  <si>
    <t>https://twtsl.ccu.edu.tw/sentence/t/S-the_two_of_them.mp4</t>
  </si>
  <si>
    <t>f9b9fafc8dc2dcb931ec9dc78783de3a2ce117e227aa8da98293a5e434c238b5</t>
  </si>
  <si>
    <t>TWS0492</t>
  </si>
  <si>
    <t>我倆</t>
  </si>
  <si>
    <t>我倆是好朋友，從小一起長大</t>
  </si>
  <si>
    <t>我倆/朋友/長大</t>
  </si>
  <si>
    <t>https://twtsl.ccu.edu.tw/sentence/t/S-the_two_of_us.mp4</t>
  </si>
  <si>
    <t>e387955760ab97bafb8db90deb38e3539ee4c16584f054a22f498e2acee74f30</t>
  </si>
  <si>
    <t>TWS0493</t>
  </si>
  <si>
    <t>想</t>
  </si>
  <si>
    <t>他覺得所有人都要害他</t>
  </si>
  <si>
    <t>他/想/全部/害他</t>
  </si>
  <si>
    <t>https://twtsl.ccu.edu.tw/sentence/t/S-think.mp4</t>
  </si>
  <si>
    <t>e4cb52144d436b7be7be3c0a26776fab0e507a7adc0f181354ebc7a47c8f3cfa</t>
  </si>
  <si>
    <t>TWS0494</t>
  </si>
  <si>
    <t>他每天想著怎麼變瘦</t>
  </si>
  <si>
    <t>他/每天/想/如何/胖/變/瘦</t>
  </si>
  <si>
    <t>https://twtsl.ccu.edu.tw/sentence/t/S-think_2.mp4</t>
  </si>
  <si>
    <t>a2383c0e52dd16df81faef9a3dafb1ac65cef6321f9630fdb18ada1ad83935ec</t>
  </si>
  <si>
    <t>TWS0495</t>
  </si>
  <si>
    <t>口渴</t>
  </si>
  <si>
    <t>我覺得口渴了</t>
  </si>
  <si>
    <t>我/覺得/口/渴</t>
  </si>
  <si>
    <t>https://twtsl.ccu.edu.tw/sentence/t/S-thirsty.mp4</t>
  </si>
  <si>
    <t>decd4257facd721b6d5785fa912a575abb4d2eb19dc617818272ff59cd0b2cce</t>
  </si>
  <si>
    <t>TWS0496</t>
  </si>
  <si>
    <t>時間_B</t>
  </si>
  <si>
    <t>現在是晚餐時間</t>
  </si>
  <si>
    <t>晚餐/時間/現在/這/現在</t>
  </si>
  <si>
    <t>https://twtsl.ccu.edu.tw/sentence/t/S-time_b.mp4</t>
  </si>
  <si>
    <t>3e5a6c5754ae7b2984c1e269e8a58636b74dade1dddff59f33f91c804d133570</t>
  </si>
  <si>
    <t>TWS0497</t>
  </si>
  <si>
    <t>勞累</t>
  </si>
  <si>
    <t>我剛考完試很累</t>
  </si>
  <si>
    <t>剛剛/考試/完/我/累</t>
  </si>
  <si>
    <t>https://twtsl.ccu.edu.tw/sentence/t/S-tired.mp4</t>
  </si>
  <si>
    <t>2d3424044df7837b20625c952dc1afa1dca7bd27fe224f52ef613a2f9be719c0</t>
  </si>
  <si>
    <t>TWS0498</t>
  </si>
  <si>
    <t>爸爸的工作很累</t>
  </si>
  <si>
    <t>爸爸/工作/累</t>
  </si>
  <si>
    <t>https://twtsl.ccu.edu.tw/sentence/t/S-tired_2.mp4</t>
  </si>
  <si>
    <t>dce4c4d0d6f5997dc64866e0e10aaff33f731b6b1e9ed1e70cad286da896e102</t>
  </si>
  <si>
    <t>TWS0499</t>
  </si>
  <si>
    <t>一同</t>
  </si>
  <si>
    <t>跟我一同去郊遊</t>
  </si>
  <si>
    <t>旅遊/玩/同/兩個去</t>
  </si>
  <si>
    <t>https://twtsl.ccu.edu.tw/sentence/t/S-together.mp4</t>
  </si>
  <si>
    <t>5873d6a282f8dc1d9373d68d378996ac18232b20138e0a5587fe7e11cf53f147</t>
  </si>
  <si>
    <t>TWS0500</t>
  </si>
  <si>
    <t>明天</t>
  </si>
  <si>
    <t>明天市長要來</t>
  </si>
  <si>
    <t>明天/市長/要來</t>
  </si>
  <si>
    <t>https://twtsl.ccu.edu.tw/sentence/t/S-tomorrow.mp4</t>
  </si>
  <si>
    <t>69f0c599e7d0868421103292f902057ccbae9ab011652675565546d510f215ab</t>
  </si>
  <si>
    <t>TWS0501</t>
  </si>
  <si>
    <t>牙齒</t>
  </si>
  <si>
    <t>牙齒是很堅硬的</t>
  </si>
  <si>
    <t>牙齒/硬</t>
  </si>
  <si>
    <t>https://twtsl.ccu.edu.tw/sentence/t/S-tooth.mp4</t>
  </si>
  <si>
    <t>db1ec1b555467974229d24d007ce0047a5937df19b324778f05ee08425d3d6d5</t>
  </si>
  <si>
    <t>TWS0502</t>
  </si>
  <si>
    <t>牙刷</t>
  </si>
  <si>
    <t>睡覺前要刷牙</t>
  </si>
  <si>
    <t>睡/前/刷牙/要</t>
  </si>
  <si>
    <t>https://twtsl.ccu.edu.tw/sentence/t/S-toothbrush.mp4</t>
  </si>
  <si>
    <t>e5b6557da8ab92790038449f0a3108751bf236d34ad216299508ec96911c3bba</t>
  </si>
  <si>
    <t>TWS0503</t>
  </si>
  <si>
    <t>他剛換了一隻綠色的新牙刷</t>
  </si>
  <si>
    <t>綠/牙刷/這/他/剛剛/換/新</t>
  </si>
  <si>
    <t>https://twtsl.ccu.edu.tw/sentence/t/S-toothbrush_2.mp4</t>
  </si>
  <si>
    <t>5774c92da6ff176ff8f61f3c3187f7878f4adebc6c036d8ddeb6367c0758db30</t>
  </si>
  <si>
    <t>TWS0504</t>
  </si>
  <si>
    <t>旅行</t>
  </si>
  <si>
    <t>去國外旅遊時要注意安全</t>
  </si>
  <si>
    <t>國外/去/旅遊/玩/安全/注意</t>
  </si>
  <si>
    <t>https://twtsl.ccu.edu.tw/sentence/t/S-travel.mp4</t>
  </si>
  <si>
    <t>bc29a5680626f1c7c0bbaa8c6eab7c6c7d87bfa1b87fafd5b8d1c6ae3797f0b8</t>
  </si>
  <si>
    <t>TWS0505</t>
  </si>
  <si>
    <t>卡車</t>
  </si>
  <si>
    <t>我家有三台卡車</t>
  </si>
  <si>
    <t>我/家/卡車/三</t>
  </si>
  <si>
    <t>https://twtsl.ccu.edu.tw/sentence/t/S-truck.mp4</t>
  </si>
  <si>
    <t>660be133091cf7089b46594c140d788bc810deb40a6b2f44574d87eea4ffb71e</t>
  </si>
  <si>
    <t>TWS0506</t>
  </si>
  <si>
    <t>颱風</t>
  </si>
  <si>
    <t>上禮拜的颱風很大</t>
  </si>
  <si>
    <t>上個星期/颱風/強</t>
  </si>
  <si>
    <t>https://twtsl.ccu.edu.tw/sentence/t/S-typhoon.mp4</t>
  </si>
  <si>
    <t>407838c1955ac1d53ad5bde54a0ef4e376c0e09c83f72b83f40ee1a1a56151eb</t>
  </si>
  <si>
    <t>TWS0507</t>
  </si>
  <si>
    <t>倒楣_C</t>
  </si>
  <si>
    <t>昨天我遺失了皮包，真倒楣。</t>
  </si>
  <si>
    <t>昨天/皮包/遺失/怎麼辦/倒楣</t>
  </si>
  <si>
    <t>https://twtsl.ccu.edu.tw/sentence/b/S-bad_luck_c.mp4</t>
  </si>
  <si>
    <t>f14085ce9e3c0495afbdcf30c79f7aafe284cb7bcbc8c4f38a24937bac81aeb3</t>
  </si>
  <si>
    <t>TWS0508</t>
  </si>
  <si>
    <t>著急</t>
  </si>
  <si>
    <t>他急著地離開</t>
  </si>
  <si>
    <t>他/著急/走了</t>
  </si>
  <si>
    <t>https://twtsl.ccu.edu.tw/sentence/u/S-upset.mp4</t>
  </si>
  <si>
    <t>9c805c9214e96ec04bec9bc574e64b7659ce58ae9461c1983632f7bdfd94c4f2</t>
  </si>
  <si>
    <t>TWS0509</t>
  </si>
  <si>
    <t>放假</t>
  </si>
  <si>
    <t>他昨天熬夜，所以今天請假</t>
  </si>
  <si>
    <t>他/昨天/通宵/現在/請假</t>
  </si>
  <si>
    <t>https://twtsl.ccu.edu.tw/sentence/v/S-vacation_a.mp4</t>
  </si>
  <si>
    <t>cee18ec6b9643b021816b80d514eb3fd453f12eac75b3711733c49c40eb7e2ef</t>
  </si>
  <si>
    <t>TWS0510</t>
  </si>
  <si>
    <t>等等</t>
  </si>
  <si>
    <t>我/說/種類/三/知道</t>
  </si>
  <si>
    <t>https://twtsl.ccu.edu.tw/sentence/v/S-variety.mp4</t>
  </si>
  <si>
    <t>2c8fdab3eca28c4b5682d04927562157d923600e7f4896a03c599d9fa1868fe8</t>
  </si>
  <si>
    <t>TWS0512</t>
  </si>
  <si>
    <t>欣賞</t>
  </si>
  <si>
    <t>報紙/我/欣賞/要</t>
  </si>
  <si>
    <t>https://twtsl.ccu.edu.tw/sentence/v/S-visit_a.mp4</t>
  </si>
  <si>
    <t>a540c36d72d3c0168b46fddacc4f448e6920e0bf60381632d61b973efb532f7f</t>
  </si>
  <si>
    <t>TWS0513</t>
  </si>
  <si>
    <t>走</t>
  </si>
  <si>
    <t>我們一起走吧</t>
  </si>
  <si>
    <t>我們兩個/來/走</t>
  </si>
  <si>
    <t>https://twtsl.ccu.edu.tw/sentence/w/S-walk.mp4</t>
  </si>
  <si>
    <t>768906688a5df4ffd6034a36724d01926ccea1558dbf2dd987989bb040a8abb5</t>
  </si>
  <si>
    <t>TWS0514</t>
  </si>
  <si>
    <t>要_N</t>
  </si>
  <si>
    <t>妳願意嫁給我嗎?</t>
  </si>
  <si>
    <t>嫁給我/要</t>
  </si>
  <si>
    <t>https://twtsl.ccu.edu.tw/sentence/w/S-want_n.mp4</t>
  </si>
  <si>
    <t>8959f638cfdd0d9a5aa81a05b02a2bd8825bae45dd81c55865cab5960e65f032</t>
  </si>
  <si>
    <t>TWS0515</t>
  </si>
  <si>
    <t>要_S</t>
  </si>
  <si>
    <t>我要準備比賽</t>
  </si>
  <si>
    <t>https://twtsl.ccu.edu.tw/sentence/w/S-want_s.mp4</t>
  </si>
  <si>
    <t>9d60c2cbaab46e50629a12e32c701d5d679a23db8d25ab36a0148227bfa98300</t>
  </si>
  <si>
    <t>TWS0516</t>
  </si>
  <si>
    <t>我需要三把椅子</t>
  </si>
  <si>
    <t>我/需要/椅子/三</t>
  </si>
  <si>
    <t>https://twtsl.ccu.edu.tw/sentence/w/S-want_s_2.mp4</t>
  </si>
  <si>
    <t>c97bce9ac681833f376ccc75631879df3c223ecf2a55e21e721eb77065e833b9</t>
  </si>
  <si>
    <t>TWS0517</t>
  </si>
  <si>
    <t>暖和</t>
  </si>
  <si>
    <t>他的大衣很暖和</t>
  </si>
  <si>
    <t>他/大/外套/暖和</t>
  </si>
  <si>
    <t>https://twtsl.ccu.edu.tw/sentence/w/S-warm.mp4</t>
  </si>
  <si>
    <t>4688c486285dd8d0773f44e37906b596987a738b364bbc00565331f34b9c2981</t>
  </si>
  <si>
    <t>TWS0518</t>
  </si>
  <si>
    <t>洗</t>
  </si>
  <si>
    <t>吃飯前記得要先洗手</t>
  </si>
  <si>
    <t>吃飯/之前/你/記得/洗手/首先</t>
  </si>
  <si>
    <t>https://twtsl.ccu.edu.tw/sentence/w/S-wash.mp4</t>
  </si>
  <si>
    <t>508813a3b9bc8cf6c93211dbb572db855c63146da3cad550a3df366d786775c4</t>
  </si>
  <si>
    <t>TWS0519</t>
  </si>
  <si>
    <t>浪費</t>
  </si>
  <si>
    <t>不要浪費時間</t>
  </si>
  <si>
    <t>嗨/時間/浪費/不要</t>
  </si>
  <si>
    <t>https://twtsl.ccu.edu.tw/sentence/w/S-waste.mp4</t>
  </si>
  <si>
    <t>8bb91dd68de8b52be8a380d57535928c56b0c30b172dba879e7fd6de19973c1b</t>
  </si>
  <si>
    <t>TWS0520</t>
  </si>
  <si>
    <t>西瓜</t>
  </si>
  <si>
    <t>夏天的時候我們會吃西瓜</t>
  </si>
  <si>
    <t>夏天/夏天/西瓜/吃</t>
  </si>
  <si>
    <t>https://twtsl.ccu.edu.tw/sentence/w/S-watermelon.mp4</t>
  </si>
  <si>
    <t>2be80d7df38bd7599ca108e9095da11ede88230f6bac135587ed793bb78deb9a</t>
  </si>
  <si>
    <t>TWS0521</t>
  </si>
  <si>
    <t>我們</t>
  </si>
  <si>
    <t>我們約好要去KTV唱歌</t>
  </si>
  <si>
    <t>KTV/唱歌/我們/討論/好/去</t>
  </si>
  <si>
    <t>https://twtsl.ccu.edu.tw/sentence/w/S-we.mp4</t>
  </si>
  <si>
    <t>f943139c19d87d91ac5e0d2409e4f3c0ca37eb0f27dbd33bac8f6fcea9016b61</t>
  </si>
  <si>
    <t>TWS0522</t>
  </si>
  <si>
    <t>迎接</t>
  </si>
  <si>
    <t>歡迎光臨台灣</t>
  </si>
  <si>
    <t>歡迎/人來/台灣</t>
  </si>
  <si>
    <t>https://twtsl.ccu.edu.tw/sentence/w/S-welcome_a.mp4</t>
  </si>
  <si>
    <t>80597a6a276d347bf6a5e054af50fb4f3faf4404f15b987c1a2e6f19a7e885bb</t>
  </si>
  <si>
    <t>TWS0523</t>
  </si>
  <si>
    <t>西</t>
  </si>
  <si>
    <t>往西邊走會到公園</t>
  </si>
  <si>
    <t>西/那/走/那/公園/那</t>
  </si>
  <si>
    <t>https://twtsl.ccu.edu.tw/sentence/w/S-west.mp4</t>
  </si>
  <si>
    <t>f428c84013836fd07a2918d8d34b668a24f35009e799c3325879e285dfb3bf7c</t>
  </si>
  <si>
    <t>TWS0524</t>
  </si>
  <si>
    <t>日期</t>
  </si>
  <si>
    <t>今天日期是三月八日</t>
  </si>
  <si>
    <t>今天/日期/三月八日</t>
  </si>
  <si>
    <t>https://twtsl.ccu.edu.tw/sentence/w/S-what_date.mp4</t>
  </si>
  <si>
    <t>b9f5973f8d709a9ed2b7a4c93c26e01190407a76d7d475cb0f76007c8ae72bd3</t>
  </si>
  <si>
    <t>TWS0525</t>
  </si>
  <si>
    <t>怎麼辦_A</t>
  </si>
  <si>
    <t>我找不到老師，怎麼辦?</t>
  </si>
  <si>
    <t>老師/找/做不成/怎麼辦A/怎麼辦B</t>
  </si>
  <si>
    <t>https://twtsl.ccu.edu.tw/sentence/w/S-what_to_do_a.mp4</t>
  </si>
  <si>
    <t>f404e1dd16c3af3a8fc3ebc4bfdb7a454b842cf05cb123a8a0512857f5d29f93</t>
  </si>
  <si>
    <t>TWS0526</t>
  </si>
  <si>
    <t>任意</t>
  </si>
  <si>
    <t>不要隨便亂丟垃圾</t>
  </si>
  <si>
    <t>你/髒/丟/隨便/不要</t>
  </si>
  <si>
    <t>https://twtsl.ccu.edu.tw/sentence/w/S-whatever.mp4</t>
  </si>
  <si>
    <t>f3629c79a5f90ac83628d4c5dc9162222e002999b1f44a6688aa3ddadc7799cf</t>
  </si>
  <si>
    <t>TWS0527</t>
  </si>
  <si>
    <t>什麼_A</t>
  </si>
  <si>
    <t>你剛剛說了什麼?</t>
  </si>
  <si>
    <t>你/剛剛/說/什麼</t>
  </si>
  <si>
    <t>https://twtsl.ccu.edu.tw/sentence/w/S-which_what.mp4</t>
  </si>
  <si>
    <t>00512c8cbd9d82db30456b65e2809348234be6ad337c3d7d5d2f6e464f4aae71</t>
  </si>
  <si>
    <t>TWS0528</t>
  </si>
  <si>
    <t>誰</t>
  </si>
  <si>
    <t>那個人是誰?</t>
  </si>
  <si>
    <t>那/人/他/誰</t>
  </si>
  <si>
    <t>https://twtsl.ccu.edu.tw/sentence/w/S-who.mp4</t>
  </si>
  <si>
    <t>e05832953463674ebcef28aee9bcfbf1cea825052a621efef86fa4fc2657b947</t>
  </si>
  <si>
    <t>TWS0529</t>
  </si>
  <si>
    <t>為什麼_B</t>
  </si>
  <si>
    <t>你為什麼不相信我?</t>
  </si>
  <si>
    <t>你/相信我/為什麼/相信我/不/相信我/為什麼</t>
  </si>
  <si>
    <t>https://twtsl.ccu.edu.tw/sentence/w/S-why_b.mp4</t>
  </si>
  <si>
    <t>69d7cb4f5ce7eef0cdc9dd221275d8d1555e995cccd1b6c7e2588fcbfa8cc8e1</t>
  </si>
  <si>
    <t>TWS0530</t>
  </si>
  <si>
    <t>答應</t>
  </si>
  <si>
    <t>他願意和你結婚嗎？</t>
  </si>
  <si>
    <t>他/你/結婚/他/肯</t>
  </si>
  <si>
    <t>https://twtsl.ccu.edu.tw/sentence/w/S-willing.mp4</t>
  </si>
  <si>
    <t>c428a7e76a625b9c820739aa14eac6288adaa3c869a416d40e95ad174c59f726</t>
  </si>
  <si>
    <t>TWS0531</t>
  </si>
  <si>
    <t>木</t>
  </si>
  <si>
    <t>這塊木頭很稀有</t>
  </si>
  <si>
    <t>這/木/塊/整/稀少</t>
  </si>
  <si>
    <t>https://twtsl.ccu.edu.tw/sentence/w/S-wood.mp4</t>
  </si>
  <si>
    <t>3af28fd4bdf6c1b9c5fd90ea95da7f0d02ee8c3524cdac3696e5922a19528600</t>
  </si>
  <si>
    <t>TWS0532</t>
  </si>
  <si>
    <t>世界</t>
  </si>
  <si>
    <t>希望世界和平</t>
  </si>
  <si>
    <t>希望/世界/和平</t>
  </si>
  <si>
    <t>https://twtsl.ccu.edu.tw/sentence/w/S-world.mp4</t>
  </si>
  <si>
    <t>29faf9b57a8285219ca9035a55ac29b134da9f38f2611eb4206035adf5253762</t>
  </si>
  <si>
    <t>TWS0533</t>
  </si>
  <si>
    <t>寫</t>
  </si>
  <si>
    <t>弟弟寫了一份備忘錄</t>
  </si>
  <si>
    <t>弟弟/寫/紀錄/張/紀錄/寫</t>
  </si>
  <si>
    <t>https://twtsl.ccu.edu.tw/sentence/w/S-write.mp4</t>
  </si>
  <si>
    <t>75582a18ff29e0547b573a4a2997ea397ebada48a27bf49464aa305ed877d641</t>
  </si>
  <si>
    <t>TWS0534</t>
  </si>
  <si>
    <t>一年</t>
  </si>
  <si>
    <t>今年是2020年</t>
  </si>
  <si>
    <t>今年/2020/年</t>
  </si>
  <si>
    <t>https://twtsl.ccu.edu.tw/sentence/y/S-year.mp4</t>
  </si>
  <si>
    <t>8370d39d5ee69099608092ac50ac5b91316eb8ba0ee2e7af3cafc1fb32071484</t>
  </si>
  <si>
    <t>TWS0535</t>
  </si>
  <si>
    <t>黃(姓)</t>
  </si>
  <si>
    <t>香蕉成熟後的外皮是黃色的</t>
  </si>
  <si>
    <t>香蕉/外/皮/熱/變/黃</t>
  </si>
  <si>
    <t>https://twtsl.ccu.edu.tw/sentence/y/S-yellow.mp4</t>
  </si>
  <si>
    <t>c24eb82c4f4d617ff2ba9a27f87f99bd273d715adaff264de892af0d3f97ae81</t>
  </si>
  <si>
    <t>TWS0536</t>
  </si>
  <si>
    <t>昨天</t>
  </si>
  <si>
    <t>我昨天去看電影</t>
  </si>
  <si>
    <t>我/昨天/電影/欣賞</t>
  </si>
  <si>
    <t>https://twtsl.ccu.edu.tw/sentence/y/S-yesterday.mp4</t>
  </si>
  <si>
    <t>26343de348d3efb6b1b90becfcae1697b2d0eac10bf866b685c1fb3f3eaceb8d</t>
  </si>
  <si>
    <t>TWS0537</t>
  </si>
  <si>
    <t>原諒</t>
  </si>
  <si>
    <t>爸爸原諒妹妹打破花瓶</t>
  </si>
  <si>
    <t>花瓶/妹妹/打破/爸爸/原諒</t>
  </si>
  <si>
    <t>https://twtsl.ccu.edu.tw/sentence/y/S-yield.mp4</t>
  </si>
  <si>
    <t>20cca0e57642f5722989e0f38fd3777418ae2694297c8e094ff4ba92cf4c15b0</t>
  </si>
  <si>
    <t>TWS0538</t>
  </si>
  <si>
    <t>少年</t>
  </si>
  <si>
    <t>年輕的時候要多閱讀</t>
  </si>
  <si>
    <t>年輕/過去/年輕/時間/讀書/多/讀書/要</t>
  </si>
  <si>
    <t>https://twtsl.ccu.edu.tw/sentence/y/S-young.mp4</t>
  </si>
  <si>
    <t>95b090c16880028a911a53bd1fb2e932a8d09377640b352c68acd4e22ab0fdd6</t>
  </si>
  <si>
    <t>TWS0539</t>
  </si>
  <si>
    <t>妹妹</t>
  </si>
  <si>
    <t>妹妹很喜歡那個男生</t>
  </si>
  <si>
    <t>他/男/妹妹/見/喜歡</t>
  </si>
  <si>
    <t>https://twtsl.ccu.edu.tw/sentence/y/S-younger_sister.mp4</t>
  </si>
  <si>
    <t>c759d73397c64afd6621c4ed21a0750ace04d4305f337de82691b180f89764b3</t>
  </si>
  <si>
    <t>TWS0540</t>
  </si>
  <si>
    <t>他有三個弟弟兩個妹妹</t>
  </si>
  <si>
    <t>他/弟弟/三/妹妹/二</t>
  </si>
  <si>
    <t>https://twtsl.ccu.edu.tw/sentence/y/S-younger_sister_2.mp4</t>
  </si>
  <si>
    <t>ad93c97179fbac65447f7550bc39d8c4d9558b72a7aa98da448a9b6dd1ef61e4</t>
  </si>
  <si>
    <t>TWS0541</t>
  </si>
  <si>
    <t>雪_B</t>
  </si>
  <si>
    <t>妹妹沒有看過雪</t>
  </si>
  <si>
    <t>雪/妹妹/見/從來沒有</t>
  </si>
  <si>
    <t>https://twtsl.ccu.edu.tw/sentence/s/S-snow_b.mp4</t>
  </si>
  <si>
    <t>4d1bda07f286fb10c6fb113dc12059713c72132997e8908bf7f2dbd5afac7bb0</t>
  </si>
  <si>
    <t>TWS0542</t>
  </si>
  <si>
    <t>光_A</t>
  </si>
  <si>
    <t>他的眼睛亮了起來</t>
  </si>
  <si>
    <t>他/眼睛/這/亮</t>
  </si>
  <si>
    <t>https://twtsl.ccu.edu.tw/sentence/b/S-bright_a.mp4</t>
  </si>
  <si>
    <t>541f38f7ad8a466a5465c966df742f6344a1875b1f837c14fc3028f3018e89dd</t>
  </si>
  <si>
    <t>TWS0543</t>
  </si>
  <si>
    <t>零分</t>
  </si>
  <si>
    <t>他考試得零分</t>
  </si>
  <si>
    <t>他/考試/零分</t>
  </si>
  <si>
    <t>https://twtsl.ccu.edu.tw/sentence/z/S-zero_b.mp4</t>
  </si>
  <si>
    <t>dc025c83e50a92483bf0a19a9a749758fab654320b8e90154be60cf185cd4e2c</t>
  </si>
  <si>
    <t>TWS0544</t>
  </si>
  <si>
    <t>暑假</t>
  </si>
  <si>
    <t>他把暑假作業完成了</t>
  </si>
  <si>
    <t>他/暑假/作業/寫/全部/結束</t>
  </si>
  <si>
    <t>https://twtsl.ccu.edu.tw/sentence/s/S-summer_vacation.mp4</t>
  </si>
  <si>
    <t>103114d544aa5a7b182fc2d03f95042e74072d2e1487f8640c37f5fcf221d14e</t>
  </si>
  <si>
    <t>中正大學臺灣手語線上辭典例句｜校訂進度</t>
  </si>
  <si>
    <t>指標</t>
  </si>
  <si>
    <t>數量</t>
  </si>
  <si>
    <t>總筆數</t>
  </si>
  <si>
    <t>未填</t>
  </si>
  <si>
    <t>待複審</t>
  </si>
  <si>
    <t>資料檢查錯誤</t>
  </si>
  <si>
    <t>使用提示</t>
  </si>
  <si>
    <t>進度會依「人工校訂」中的判定自動更新。</t>
  </si>
  <si>
    <t>只有「可匯入訓練＝是」且「資料檢查結果＝通過」的列，才適合日後轉為訓練資料。</t>
  </si>
  <si>
    <t>中文語意錯誤</t>
  </si>
  <si>
    <t>Gloss詞彙錯誤</t>
  </si>
  <si>
    <t>是</t>
  </si>
  <si>
    <t>仍需複審</t>
  </si>
  <si>
    <t>漏詞</t>
  </si>
  <si>
    <t>多餘詞</t>
  </si>
  <si>
    <t>拼寫或格式問題</t>
  </si>
  <si>
    <t>重複或資料衝突</t>
  </si>
  <si>
    <t>需影片或上下文確認</t>
  </si>
  <si>
    <t>其他</t>
  </si>
  <si>
    <t>https://twtsl.ccu.edu.tw/sentence/a/S-able_n.mp4</t>
    <phoneticPr fontId="8" type="noConversion"/>
  </si>
  <si>
    <t>https://twtsl.ccu.edu.tw/sentence/a/S-accompany.mp4</t>
    <phoneticPr fontId="8" type="noConversion"/>
  </si>
  <si>
    <t>否</t>
    <phoneticPr fontId="8" type="noConversion"/>
  </si>
  <si>
    <t>他_A/男/人/成(成人)/怎麼//幼稚/小孩/男/怎麼/這兩個/怎麼</t>
  </si>
  <si>
    <t>改「兩」</t>
  </si>
  <si>
    <t>通過</t>
    <phoneticPr fontId="8" type="noConversion"/>
  </si>
  <si>
    <t>那/蟑螂/媽媽/那/怕</t>
  </si>
  <si>
    <t>加上「媽媽」</t>
  </si>
  <si>
    <t>國外/飛機/旅遊/國外/錢/換_B/記得</t>
  </si>
  <si>
    <t>新增「記得」</t>
  </si>
  <si>
    <t>需更正</t>
    <phoneticPr fontId="8" type="noConversion"/>
  </si>
  <si>
    <t>多餘詞</t>
    <phoneticPr fontId="8" type="noConversion"/>
  </si>
  <si>
    <t>日本/變/開花</t>
    <phoneticPr fontId="8" type="noConversion"/>
  </si>
  <si>
    <t>刪除「到處」</t>
    <phoneticPr fontId="8" type="noConversion"/>
  </si>
  <si>
    <t>Gloss詞彙錯誤</t>
    <phoneticPr fontId="8" type="noConversion"/>
  </si>
  <si>
    <t>每/國家/地方/有/習慣_N/有</t>
    <phoneticPr fontId="8" type="noConversion"/>
  </si>
  <si>
    <t>修正「有」</t>
    <phoneticPr fontId="8" type="noConversion"/>
  </si>
  <si>
    <t>我_B/自己/介紹</t>
  </si>
  <si>
    <t>刪除「(叫人)」</t>
  </si>
  <si>
    <t>媽媽/爸爸/愛</t>
  </si>
  <si>
    <t>修改「愛」</t>
  </si>
  <si>
    <t>那/女性/那/ 陳_A/先生/見/喜歡</t>
  </si>
  <si>
    <t>修正「陳」</t>
  </si>
  <si>
    <t>出/記得/錢/放口袋</t>
  </si>
  <si>
    <t>刪掉「嗨」</t>
  </si>
  <si>
    <t>時間_A/浪費/不要_S</t>
  </si>
  <si>
    <t>我們的飲食習慣和國外不一樣</t>
    <phoneticPr fontId="8" type="noConversion"/>
  </si>
  <si>
    <t>這種食物容易消化，適合老人吃。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</si>
</sst>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b/>
      <sz val="18"/>
      <color rgb="FFFFFFFF"/>
      <name val="Carlito"/>
    </font>
    <font>
      <b/>
      <sz val="11"/>
      <color rgb="FF17365D"/>
      <name val="Carlito"/>
    </font>
    <font>
      <b/>
      <sz val="11"/>
      <color rgb="FFFFFFFF"/>
      <name val="Carlito"/>
    </font>
    <font>
      <b/>
      <sz val="10"/>
      <color rgb="FFFFFFFF"/>
      <name val="Carlito"/>
    </font>
    <font>
      <b/>
      <sz val="16"/>
      <color rgb="FFFFFFFF"/>
      <name val="Carlito"/>
    </font>
    <font>
      <b/>
      <sz val="11"/>
      <name val="Carlito"/>
    </font>
    <font>
      <sz val="11"/>
      <name val="Carlito"/>
    </font>
    <font>
      <sz val="9"/>
      <name val="Wawati TC"/>
      <family val="3"/>
      <charset val="136"/>
    </font>
    <font>
      <u/>
      <sz val="11"/>
      <color theme="10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4472C4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F7FBFF"/>
      </patternFill>
    </fill>
  </fills>
  <borders count="4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3">
    <xf numFmtId="0" fontId="0" fillId="0" borderId="0"/>
    <xf numFmtId="0" fontId="7" fillId="0" borderId="0"/>
    <xf numFmtId="0" fontId="9" fillId="0" borderId="0" applyNumberFormat="0" applyFill="0" applyBorder="0" applyAlignment="0" applyProtection="0"/>
  </cellStyleXfs>
  <cellXfs count="19">
    <xf numFmtId="0" fontId="0" fillId="0" borderId="0" xfId="0"/>
    <xf numFmtId="0" fontId="2" fillId="3" borderId="1" xfId="1" applyFont="1" applyFill="1" applyBorder="1"/>
    <xf numFmtId="0" fontId="0" fillId="4" borderId="2" xfId="1" applyFont="1" applyFill="1" applyBorder="1" applyAlignment="1">
      <alignment vertical="top" wrapText="1"/>
    </xf>
    <xf numFmtId="0" fontId="3" fillId="5" borderId="0" xfId="1" applyFont="1" applyFill="1"/>
    <xf numFmtId="0" fontId="3" fillId="5" borderId="0" xfId="1" applyFont="1" applyFill="1" applyAlignment="1">
      <alignment wrapText="1"/>
    </xf>
    <xf numFmtId="0" fontId="0" fillId="0" borderId="2" xfId="1" applyFont="1" applyBorder="1"/>
    <xf numFmtId="0" fontId="0" fillId="0" borderId="2" xfId="1" applyFont="1" applyBorder="1" applyAlignment="1">
      <alignment wrapText="1"/>
    </xf>
    <xf numFmtId="3" fontId="6" fillId="0" borderId="2" xfId="1" applyNumberFormat="1" applyFont="1" applyBorder="1" applyAlignment="1">
      <alignment horizontal="right"/>
    </xf>
    <xf numFmtId="0" fontId="3" fillId="2" borderId="0" xfId="1" applyFont="1" applyFill="1" applyAlignment="1">
      <alignment wrapText="1"/>
    </xf>
    <xf numFmtId="0" fontId="4" fillId="2" borderId="3" xfId="1" applyFont="1" applyFill="1" applyBorder="1" applyAlignment="1">
      <alignment horizontal="center" vertical="center" wrapText="1"/>
    </xf>
    <xf numFmtId="0" fontId="0" fillId="0" borderId="3" xfId="0" applyBorder="1"/>
    <xf numFmtId="0" fontId="0" fillId="6" borderId="3" xfId="1" applyFont="1" applyFill="1" applyBorder="1" applyAlignment="1">
      <alignment vertical="top" wrapText="1"/>
    </xf>
    <xf numFmtId="0" fontId="0" fillId="7" borderId="3" xfId="1" applyFont="1" applyFill="1" applyBorder="1" applyAlignment="1">
      <alignment vertical="top" wrapText="1"/>
    </xf>
    <xf numFmtId="0" fontId="0" fillId="8" borderId="3" xfId="1" applyFont="1" applyFill="1" applyBorder="1" applyAlignment="1">
      <alignment vertical="top" wrapText="1"/>
    </xf>
    <xf numFmtId="0" fontId="9" fillId="6" borderId="3" xfId="2" applyFill="1" applyBorder="1" applyAlignment="1">
      <alignment vertical="top" wrapText="1"/>
    </xf>
    <xf numFmtId="0" fontId="1" fillId="2" borderId="0" xfId="1" applyFont="1" applyFill="1" applyAlignment="1">
      <alignment vertical="center"/>
    </xf>
    <xf numFmtId="0" fontId="5" fillId="2" borderId="0" xfId="1" applyFont="1" applyFill="1" applyAlignment="1">
      <alignment vertical="center"/>
    </xf>
    <xf numFmtId="0" fontId="2" fillId="3" borderId="0" xfId="1" applyFont="1" applyFill="1"/>
    <xf numFmtId="0" fontId="0" fillId="9" borderId="0" xfId="1" applyFont="1" applyFill="1" applyAlignment="1">
      <alignment wrapText="1"/>
    </xf>
  </cellXfs>
  <cellStyles count="3">
    <cellStyle name="Normal" xfId="1" xr:uid="{00000000-0005-0000-0000-000000000000}"/>
    <cellStyle name="一般" xfId="0" builtinId="0"/>
    <cellStyle name="超連結" xfId="2" builtinId="8"/>
  </cellStyles>
  <dxfs count="30"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4CCCC"/>
        </patternFill>
      </fill>
    </dxf>
    <dxf>
      <font>
        <color rgb="FF7F6000"/>
      </font>
      <fill>
        <patternFill patternType="solid">
          <bgColor rgb="FFFFE699"/>
        </patternFill>
      </fill>
    </dxf>
    <dxf>
      <font>
        <color rgb="FF375623"/>
      </font>
      <fill>
        <patternFill patternType="solid">
          <bgColor rgb="FFE2F0D9"/>
        </patternFill>
      </fill>
    </dxf>
    <dxf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view_twtsl" displayName="Review_twtsl" ref="A1:X543" totalsRowShown="0" headerRowDxfId="29">
  <tableColumns count="24">
    <tableColumn id="1" xr3:uid="{00000000-0010-0000-0000-000001000000}" name="穩定ID" dataDxfId="28"/>
    <tableColumn id="2" xr3:uid="{00000000-0010-0000-0000-000002000000}" name="重複來源ID" dataDxfId="27"/>
    <tableColumn id="3" xr3:uid="{00000000-0010-0000-0000-000003000000}" name="資料來源" dataDxfId="26"/>
    <tableColumn id="4" xr3:uid="{00000000-0010-0000-0000-000004000000}" name="來源子類型" dataDxfId="25"/>
    <tableColumn id="5" xr3:uid="{00000000-0010-0000-0000-000005000000}" name="原始中文" dataDxfId="24"/>
    <tableColumn id="6" xr3:uid="{00000000-0010-0000-0000-000006000000}" name="原始Gloss" dataDxfId="23"/>
    <tableColumn id="7" xr3:uid="{00000000-0010-0000-0000-000007000000}" name="來源說明" dataDxfId="22"/>
    <tableColumn id="8" xr3:uid="{00000000-0010-0000-0000-000008000000}" name="影片或文獻連結" dataDxfId="21"/>
    <tableColumn id="9" xr3:uid="{00000000-0010-0000-0000-000009000000}" name="原始資料指紋" dataDxfId="20"/>
    <tableColumn id="10" xr3:uid="{00000000-0010-0000-0000-00000A000000}" name="主審判定" dataDxfId="19"/>
    <tableColumn id="11" xr3:uid="{00000000-0010-0000-0000-00000B000000}" name="問題類型" dataDxfId="18"/>
    <tableColumn id="12" xr3:uid="{00000000-0010-0000-0000-00000C000000}" name="更正中文" dataDxfId="17"/>
    <tableColumn id="13" xr3:uid="{00000000-0010-0000-0000-00000D000000}" name="更正Gloss" dataDxfId="16"/>
    <tableColumn id="14" xr3:uid="{00000000-0010-0000-0000-00000E000000}" name="更正理由" dataDxfId="15"/>
    <tableColumn id="15" xr3:uid="{00000000-0010-0000-0000-00000F000000}" name="需影片確認" dataDxfId="14"/>
    <tableColumn id="16" xr3:uid="{00000000-0010-0000-0000-000010000000}" name="複審判定" dataDxfId="13"/>
    <tableColumn id="17" xr3:uid="{00000000-0010-0000-0000-000011000000}" name="複審更正中文" dataDxfId="12"/>
    <tableColumn id="18" xr3:uid="{00000000-0010-0000-0000-000012000000}" name="複審更正Gloss" dataDxfId="11"/>
    <tableColumn id="19" xr3:uid="{00000000-0010-0000-0000-000013000000}" name="複審意見" dataDxfId="10"/>
    <tableColumn id="20" xr3:uid="{00000000-0010-0000-0000-000014000000}" name="最終判定" dataDxfId="9"/>
    <tableColumn id="21" xr3:uid="{00000000-0010-0000-0000-000015000000}" name="最終中文" dataDxfId="8"/>
    <tableColumn id="22" xr3:uid="{00000000-0010-0000-0000-000016000000}" name="最終Gloss" dataDxfId="7"/>
    <tableColumn id="23" xr3:uid="{00000000-0010-0000-0000-000017000000}" name="可匯入訓練" dataDxfId="6"/>
    <tableColumn id="24" xr3:uid="{00000000-0010-0000-0000-000018000000}" name="資料檢查結果" dataDxfId="5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s://twtsl.ccu.edu.tw/sentence/a/S-accompany.mp4" TargetMode="External"/><Relationship Id="rId1" Type="http://schemas.openxmlformats.org/officeDocument/2006/relationships/hyperlink" Target="https://twtsl.ccu.edu.tw/sentence/a/S-able_n.mp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showGridLines="0" workbookViewId="0">
      <selection sqref="A1:F1"/>
    </sheetView>
  </sheetViews>
  <sheetFormatPr baseColWidth="10" defaultColWidth="8.83203125" defaultRowHeight="14"/>
  <cols>
    <col min="1" max="1" width="22" customWidth="1"/>
    <col min="2" max="2" width="60" customWidth="1"/>
    <col min="3" max="6" width="24" customWidth="1"/>
  </cols>
  <sheetData>
    <row r="1" spans="1:6" ht="34" customHeight="1">
      <c r="A1" s="15" t="s">
        <v>0</v>
      </c>
      <c r="B1" s="15"/>
      <c r="C1" s="15"/>
      <c r="D1" s="15"/>
      <c r="E1" s="15"/>
      <c r="F1" s="15"/>
    </row>
    <row r="3" spans="1:6" ht="15">
      <c r="A3" s="1" t="s">
        <v>1</v>
      </c>
      <c r="B3" s="1" t="s">
        <v>2</v>
      </c>
    </row>
    <row r="4" spans="1:6" ht="15">
      <c r="A4" s="2" t="s">
        <v>3</v>
      </c>
      <c r="B4" s="2">
        <v>542</v>
      </c>
    </row>
    <row r="5" spans="1:6" ht="15">
      <c r="A5" s="2" t="s">
        <v>4</v>
      </c>
      <c r="B5" s="2" t="s">
        <v>5</v>
      </c>
    </row>
    <row r="6" spans="1:6" ht="15">
      <c r="A6" s="2" t="s">
        <v>6</v>
      </c>
      <c r="B6" s="2" t="s">
        <v>7</v>
      </c>
    </row>
    <row r="7" spans="1:6" ht="15">
      <c r="A7" s="2" t="s">
        <v>8</v>
      </c>
      <c r="B7" s="2" t="s">
        <v>9</v>
      </c>
    </row>
    <row r="8" spans="1:6" ht="15">
      <c r="A8" s="2" t="s">
        <v>10</v>
      </c>
      <c r="B8" s="2" t="s">
        <v>11</v>
      </c>
    </row>
    <row r="9" spans="1:6" ht="15">
      <c r="A9" s="2" t="s">
        <v>12</v>
      </c>
      <c r="B9" s="2" t="s">
        <v>13</v>
      </c>
    </row>
    <row r="10" spans="1:6" ht="15">
      <c r="A10" s="2" t="s">
        <v>14</v>
      </c>
      <c r="B10" s="2" t="s">
        <v>15</v>
      </c>
    </row>
    <row r="11" spans="1:6" ht="30">
      <c r="A11" s="2" t="s">
        <v>16</v>
      </c>
      <c r="B11" s="2" t="s">
        <v>17</v>
      </c>
    </row>
    <row r="12" spans="1:6" ht="15">
      <c r="A12" s="2" t="s">
        <v>18</v>
      </c>
      <c r="B12" s="2" t="s">
        <v>19</v>
      </c>
    </row>
    <row r="13" spans="1:6" ht="15">
      <c r="A13" s="2" t="s">
        <v>20</v>
      </c>
      <c r="B13" s="2" t="s">
        <v>21</v>
      </c>
    </row>
    <row r="15" spans="1:6" ht="16">
      <c r="A15" s="4" t="s">
        <v>22</v>
      </c>
      <c r="B15" s="4" t="s">
        <v>6</v>
      </c>
      <c r="C15" s="4" t="s">
        <v>23</v>
      </c>
      <c r="D15" s="4" t="s">
        <v>24</v>
      </c>
      <c r="E15" s="4" t="s">
        <v>25</v>
      </c>
      <c r="F15" s="4" t="s">
        <v>26</v>
      </c>
    </row>
    <row r="16" spans="1:6" ht="15">
      <c r="A16" s="6" t="s">
        <v>27</v>
      </c>
      <c r="B16" s="6" t="s">
        <v>8</v>
      </c>
      <c r="C16" s="6"/>
      <c r="D16" s="6"/>
      <c r="E16" s="6"/>
      <c r="F16" s="6"/>
    </row>
    <row r="17" spans="1:6" ht="15">
      <c r="A17" s="6" t="s">
        <v>28</v>
      </c>
      <c r="B17" s="6" t="s">
        <v>10</v>
      </c>
      <c r="C17" s="6" t="s">
        <v>29</v>
      </c>
      <c r="D17" s="6"/>
      <c r="E17" s="6" t="s">
        <v>30</v>
      </c>
      <c r="F17" s="6" t="s">
        <v>31</v>
      </c>
    </row>
    <row r="18" spans="1:6" ht="15">
      <c r="A18" s="6" t="s">
        <v>32</v>
      </c>
      <c r="B18" s="6" t="s">
        <v>12</v>
      </c>
      <c r="C18" s="6" t="s">
        <v>33</v>
      </c>
      <c r="D18" s="6"/>
      <c r="E18" s="6"/>
      <c r="F18" s="6" t="s">
        <v>34</v>
      </c>
    </row>
  </sheetData>
  <mergeCells count="1">
    <mergeCell ref="A1:F1"/>
  </mergeCells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543"/>
  <sheetViews>
    <sheetView showGridLines="0" tabSelected="1" topLeftCell="A158" workbookViewId="0">
      <selection activeCell="E167" sqref="E167"/>
    </sheetView>
  </sheetViews>
  <sheetFormatPr baseColWidth="10" defaultColWidth="8.83203125" defaultRowHeight="14"/>
  <cols>
    <col min="1" max="1" width="11.5" style="10" customWidth="1"/>
    <col min="2" max="2" width="13.5" style="10" customWidth="1"/>
    <col min="3" max="3" width="28.5" style="10" customWidth="1"/>
    <col min="4" max="4" width="12.5" style="10" customWidth="1"/>
    <col min="5" max="5" width="32.33203125" style="10" customWidth="1"/>
    <col min="6" max="6" width="38" style="10" customWidth="1"/>
    <col min="7" max="7" width="61.6640625" style="10" hidden="1" customWidth="1"/>
    <col min="8" max="8" width="34" style="10" customWidth="1"/>
    <col min="9" max="9" width="16" style="10" hidden="1" customWidth="1"/>
    <col min="10" max="10" width="12" style="10" customWidth="1"/>
    <col min="11" max="11" width="22" style="10" customWidth="1"/>
    <col min="12" max="12" width="32" style="10" customWidth="1"/>
    <col min="13" max="13" width="38" style="10" customWidth="1"/>
    <col min="14" max="14" width="32" style="10" customWidth="1"/>
    <col min="15" max="16" width="12" style="10" customWidth="1"/>
    <col min="17" max="17" width="32" style="10" customWidth="1"/>
    <col min="18" max="18" width="38" style="10" customWidth="1"/>
    <col min="19" max="19" width="32" style="10" customWidth="1"/>
    <col min="20" max="20" width="12" style="10" customWidth="1"/>
    <col min="21" max="21" width="32" style="10" customWidth="1"/>
    <col min="22" max="22" width="38" style="10" customWidth="1"/>
    <col min="23" max="23" width="14" style="10" customWidth="1"/>
    <col min="24" max="24" width="30" style="10" customWidth="1"/>
    <col min="25" max="16384" width="8.83203125" style="10"/>
  </cols>
  <sheetData>
    <row r="1" spans="1:24" ht="42" customHeight="1">
      <c r="A1" s="9" t="s">
        <v>35</v>
      </c>
      <c r="B1" s="9" t="s">
        <v>36</v>
      </c>
      <c r="C1" s="9" t="s">
        <v>37</v>
      </c>
      <c r="D1" s="9" t="s">
        <v>38</v>
      </c>
      <c r="E1" s="9" t="s">
        <v>39</v>
      </c>
      <c r="F1" s="9" t="s">
        <v>40</v>
      </c>
      <c r="G1" s="9" t="s">
        <v>41</v>
      </c>
      <c r="H1" s="9" t="s">
        <v>42</v>
      </c>
      <c r="I1" s="9" t="s">
        <v>43</v>
      </c>
      <c r="J1" s="9" t="s">
        <v>6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16</v>
      </c>
      <c r="P1" s="9" t="s">
        <v>44</v>
      </c>
      <c r="Q1" s="9" t="s">
        <v>45</v>
      </c>
      <c r="R1" s="9" t="s">
        <v>46</v>
      </c>
      <c r="S1" s="9" t="s">
        <v>47</v>
      </c>
      <c r="T1" s="9" t="s">
        <v>48</v>
      </c>
      <c r="U1" s="9" t="s">
        <v>49</v>
      </c>
      <c r="V1" s="9" t="s">
        <v>50</v>
      </c>
      <c r="W1" s="9" t="s">
        <v>51</v>
      </c>
      <c r="X1" s="9" t="s">
        <v>52</v>
      </c>
    </row>
    <row r="2" spans="1:24" ht="34" customHeight="1">
      <c r="A2" s="11" t="s">
        <v>53</v>
      </c>
      <c r="B2" s="11" t="s">
        <v>53</v>
      </c>
      <c r="C2" s="11" t="s">
        <v>54</v>
      </c>
      <c r="D2" s="11" t="s">
        <v>55</v>
      </c>
      <c r="E2" s="11" t="s">
        <v>56</v>
      </c>
      <c r="F2" s="11" t="s">
        <v>57</v>
      </c>
      <c r="G2" s="11" t="s">
        <v>58</v>
      </c>
      <c r="H2" s="14" t="s">
        <v>3248</v>
      </c>
      <c r="I2" s="11" t="s">
        <v>59</v>
      </c>
      <c r="J2" s="12" t="s">
        <v>8</v>
      </c>
      <c r="K2" s="12"/>
      <c r="L2" s="12"/>
      <c r="M2" s="12"/>
      <c r="N2" s="12"/>
      <c r="O2" s="12" t="s">
        <v>60</v>
      </c>
      <c r="P2" s="12"/>
      <c r="Q2" s="12"/>
      <c r="R2" s="12"/>
      <c r="S2" s="12"/>
      <c r="T2" s="13" t="str">
        <f t="shared" ref="T2:T65" si="0">IF(J2="","未填",IF(J2="需複審",IF(OR(P2="",P2="仍需複審"),"待複審",P2),J2))</f>
        <v>通過</v>
      </c>
      <c r="U2" s="13" t="str">
        <f t="shared" ref="U2:U65" si="1">IF(T2="通過",E2,IF(T2="需更正",IF(J2="需複審",IF(Q2="",E2,Q2),IF(L2="",E2,L2)),""))</f>
        <v>我會游泳</v>
      </c>
      <c r="V2" s="13" t="str">
        <f t="shared" ref="V2:V65" si="2">IF(T2="通過",F2,IF(T2="需更正",IF(J2="需複審",R2,M2),""))</f>
        <v>我/游泳/會</v>
      </c>
      <c r="W2" s="13" t="str">
        <f t="shared" ref="W2:W65" si="3">IF(AND(OR(T2="通過",AND(T2="需更正",V2&lt;&gt;"")),X2="通過"),"是","否")</f>
        <v>是</v>
      </c>
      <c r="X2" s="13" t="str">
        <f t="shared" ref="X2:X65" si="4">IF(J2="","未填",IF(AND(J2="需複審",OR(P2="",P2="仍需複審")),"待複審",IF(OR(AND(J2="需更正",K2=""),AND(J2="需更正",M2=""),AND(J2="需更正",N2=""),AND(J2="排除",OR(K2="",N2="")),AND(J2="需複審",P2="需更正",R2=""),AND(J2="需複審",P2="需更正",S2=""),AND(J2="需複審",P2="排除",S2="")),"錯誤：請補齊必填欄位","通過")))</f>
        <v>通過</v>
      </c>
    </row>
    <row r="3" spans="1:24" ht="34" customHeight="1">
      <c r="A3" s="11" t="s">
        <v>61</v>
      </c>
      <c r="B3" s="11" t="s">
        <v>61</v>
      </c>
      <c r="C3" s="11" t="s">
        <v>54</v>
      </c>
      <c r="D3" s="11" t="s">
        <v>62</v>
      </c>
      <c r="E3" s="11" t="s">
        <v>63</v>
      </c>
      <c r="F3" s="11" t="s">
        <v>64</v>
      </c>
      <c r="G3" s="11" t="s">
        <v>58</v>
      </c>
      <c r="H3" s="14" t="s">
        <v>3249</v>
      </c>
      <c r="I3" s="11" t="s">
        <v>65</v>
      </c>
      <c r="J3" s="12" t="s">
        <v>8</v>
      </c>
      <c r="K3" s="12"/>
      <c r="L3" s="12"/>
      <c r="M3" s="12"/>
      <c r="N3" s="12"/>
      <c r="O3" s="12" t="s">
        <v>60</v>
      </c>
      <c r="P3" s="12"/>
      <c r="Q3" s="12"/>
      <c r="R3" s="12"/>
      <c r="S3" s="12"/>
      <c r="T3" s="13" t="str">
        <f t="shared" si="0"/>
        <v>通過</v>
      </c>
      <c r="U3" s="13" t="str">
        <f t="shared" si="1"/>
        <v>他很孤單，需要陪伴</v>
      </c>
      <c r="V3" s="13" t="str">
        <f t="shared" si="2"/>
        <v>他/孤獨/他/要/陪伴/他</v>
      </c>
      <c r="W3" s="13" t="str">
        <f t="shared" si="3"/>
        <v>是</v>
      </c>
      <c r="X3" s="13" t="str">
        <f t="shared" si="4"/>
        <v>通過</v>
      </c>
    </row>
    <row r="4" spans="1:24" ht="34" customHeight="1">
      <c r="A4" s="11" t="s">
        <v>66</v>
      </c>
      <c r="B4" s="11" t="s">
        <v>66</v>
      </c>
      <c r="C4" s="11" t="s">
        <v>54</v>
      </c>
      <c r="D4" s="11" t="s">
        <v>67</v>
      </c>
      <c r="E4" s="11" t="s">
        <v>68</v>
      </c>
      <c r="F4" s="11" t="s">
        <v>69</v>
      </c>
      <c r="G4" s="11" t="s">
        <v>58</v>
      </c>
      <c r="H4" s="11" t="s">
        <v>70</v>
      </c>
      <c r="I4" s="11" t="s">
        <v>71</v>
      </c>
      <c r="J4" s="12" t="s">
        <v>8</v>
      </c>
      <c r="K4" s="12"/>
      <c r="L4" s="12"/>
      <c r="M4" s="12"/>
      <c r="N4" s="12"/>
      <c r="O4" s="12" t="s">
        <v>60</v>
      </c>
      <c r="P4" s="12"/>
      <c r="Q4" s="12"/>
      <c r="R4" s="12"/>
      <c r="S4" s="12"/>
      <c r="T4" s="13" t="str">
        <f t="shared" si="0"/>
        <v>通過</v>
      </c>
      <c r="U4" s="13" t="str">
        <f t="shared" si="1"/>
        <v>他們兩家從以前到現在積怨很久</v>
      </c>
      <c r="V4" s="13" t="str">
        <f t="shared" si="2"/>
        <v>房子/兩個/地方/這/這/以前/到/現在/積怨/久</v>
      </c>
      <c r="W4" s="13" t="str">
        <f t="shared" si="3"/>
        <v>是</v>
      </c>
      <c r="X4" s="13" t="str">
        <f t="shared" si="4"/>
        <v>通過</v>
      </c>
    </row>
    <row r="5" spans="1:24" ht="34" customHeight="1">
      <c r="A5" s="11" t="s">
        <v>72</v>
      </c>
      <c r="B5" s="11" t="s">
        <v>72</v>
      </c>
      <c r="C5" s="11" t="s">
        <v>54</v>
      </c>
      <c r="D5" s="11" t="s">
        <v>73</v>
      </c>
      <c r="E5" s="11" t="s">
        <v>74</v>
      </c>
      <c r="F5" s="11" t="s">
        <v>75</v>
      </c>
      <c r="G5" s="11" t="s">
        <v>58</v>
      </c>
      <c r="H5" s="11" t="s">
        <v>76</v>
      </c>
      <c r="I5" s="11" t="s">
        <v>77</v>
      </c>
      <c r="J5" s="12" t="s">
        <v>8</v>
      </c>
      <c r="K5" s="12"/>
      <c r="L5" s="12"/>
      <c r="M5" s="12"/>
      <c r="N5" s="12"/>
      <c r="O5" s="12" t="s">
        <v>60</v>
      </c>
      <c r="P5" s="12"/>
      <c r="Q5" s="12"/>
      <c r="R5" s="12"/>
      <c r="S5" s="12"/>
      <c r="T5" s="13" t="str">
        <f t="shared" si="0"/>
        <v>通過</v>
      </c>
      <c r="U5" s="13" t="str">
        <f t="shared" si="1"/>
        <v>他近來的行動怪異</v>
      </c>
      <c r="V5" s="13" t="str">
        <f t="shared" si="2"/>
        <v>他/過去的最近/行動/奇怪</v>
      </c>
      <c r="W5" s="13" t="str">
        <f t="shared" si="3"/>
        <v>是</v>
      </c>
      <c r="X5" s="13" t="str">
        <f t="shared" si="4"/>
        <v>通過</v>
      </c>
    </row>
    <row r="6" spans="1:24" ht="34" customHeight="1">
      <c r="A6" s="11" t="s">
        <v>78</v>
      </c>
      <c r="B6" s="11" t="s">
        <v>78</v>
      </c>
      <c r="C6" s="11" t="s">
        <v>54</v>
      </c>
      <c r="D6" s="11" t="s">
        <v>79</v>
      </c>
      <c r="E6" s="11" t="s">
        <v>80</v>
      </c>
      <c r="F6" s="11" t="s">
        <v>81</v>
      </c>
      <c r="G6" s="11" t="s">
        <v>58</v>
      </c>
      <c r="H6" s="11" t="s">
        <v>82</v>
      </c>
      <c r="I6" s="11" t="s">
        <v>83</v>
      </c>
      <c r="J6" s="12" t="s">
        <v>3253</v>
      </c>
      <c r="K6" s="12"/>
      <c r="L6" s="12"/>
      <c r="M6" s="12"/>
      <c r="N6" s="12"/>
      <c r="O6" s="12" t="s">
        <v>3250</v>
      </c>
      <c r="P6" s="12"/>
      <c r="Q6" s="12"/>
      <c r="R6" s="12"/>
      <c r="S6" s="12"/>
      <c r="T6" s="13" t="str">
        <f t="shared" si="0"/>
        <v>通過</v>
      </c>
      <c r="U6" s="13" t="str">
        <f t="shared" si="1"/>
        <v>寫作業會增加壓力</v>
      </c>
      <c r="V6" s="13" t="str">
        <f t="shared" si="2"/>
        <v>作業/寫/壓力/加/會</v>
      </c>
      <c r="W6" s="13" t="str">
        <f t="shared" si="3"/>
        <v>是</v>
      </c>
      <c r="X6" s="13" t="str">
        <f t="shared" si="4"/>
        <v>通過</v>
      </c>
    </row>
    <row r="7" spans="1:24" ht="34" customHeight="1">
      <c r="A7" s="11" t="s">
        <v>84</v>
      </c>
      <c r="B7" s="11" t="s">
        <v>84</v>
      </c>
      <c r="C7" s="11" t="s">
        <v>54</v>
      </c>
      <c r="D7" s="11" t="s">
        <v>85</v>
      </c>
      <c r="E7" s="11" t="s">
        <v>86</v>
      </c>
      <c r="F7" s="11" t="s">
        <v>87</v>
      </c>
      <c r="G7" s="11" t="s">
        <v>58</v>
      </c>
      <c r="H7" s="11" t="s">
        <v>88</v>
      </c>
      <c r="I7" s="11" t="s">
        <v>89</v>
      </c>
      <c r="J7" s="12" t="s">
        <v>3253</v>
      </c>
      <c r="K7" s="12"/>
      <c r="L7" s="12"/>
      <c r="M7" s="12"/>
      <c r="N7" s="12"/>
      <c r="O7" s="12" t="s">
        <v>3250</v>
      </c>
      <c r="P7" s="12"/>
      <c r="Q7" s="12"/>
      <c r="R7" s="12"/>
      <c r="S7" s="12"/>
      <c r="T7" s="13" t="str">
        <f t="shared" si="0"/>
        <v>通過</v>
      </c>
      <c r="U7" s="13" t="str">
        <f t="shared" si="1"/>
        <v>人人都要有冒險無懼的精神</v>
      </c>
      <c r="V7" s="13" t="str">
        <f t="shared" si="2"/>
        <v>每/人/你們/冒險/不怕/要/有</v>
      </c>
      <c r="W7" s="13" t="str">
        <f t="shared" si="3"/>
        <v>是</v>
      </c>
      <c r="X7" s="13" t="str">
        <f t="shared" si="4"/>
        <v>通過</v>
      </c>
    </row>
    <row r="8" spans="1:24" ht="34" customHeight="1">
      <c r="A8" s="11" t="s">
        <v>90</v>
      </c>
      <c r="B8" s="11" t="s">
        <v>90</v>
      </c>
      <c r="C8" s="11" t="s">
        <v>54</v>
      </c>
      <c r="D8" s="11" t="s">
        <v>91</v>
      </c>
      <c r="E8" s="11" t="s">
        <v>92</v>
      </c>
      <c r="F8" s="11" t="s">
        <v>93</v>
      </c>
      <c r="G8" s="11" t="s">
        <v>58</v>
      </c>
      <c r="H8" s="11" t="s">
        <v>94</v>
      </c>
      <c r="I8" s="11" t="s">
        <v>95</v>
      </c>
      <c r="J8" s="12" t="s">
        <v>8</v>
      </c>
      <c r="K8" s="12"/>
      <c r="L8" s="12"/>
      <c r="M8" s="12"/>
      <c r="N8" s="12"/>
      <c r="O8" s="12" t="s">
        <v>60</v>
      </c>
      <c r="P8" s="12"/>
      <c r="Q8" s="12"/>
      <c r="R8" s="12"/>
      <c r="S8" s="12"/>
      <c r="T8" s="13" t="str">
        <f t="shared" si="0"/>
        <v>通過</v>
      </c>
      <c r="U8" s="13" t="str">
        <f t="shared" si="1"/>
        <v>我完全不知道這件事</v>
      </c>
      <c r="V8" s="13" t="str">
        <f t="shared" si="2"/>
        <v>這/事情/我/完全/不知道</v>
      </c>
      <c r="W8" s="13" t="str">
        <f t="shared" si="3"/>
        <v>是</v>
      </c>
      <c r="X8" s="13" t="str">
        <f t="shared" si="4"/>
        <v>通過</v>
      </c>
    </row>
    <row r="9" spans="1:24" ht="34" customHeight="1">
      <c r="A9" s="11" t="s">
        <v>96</v>
      </c>
      <c r="B9" s="11" t="s">
        <v>96</v>
      </c>
      <c r="C9" s="11" t="s">
        <v>54</v>
      </c>
      <c r="D9" s="11" t="s">
        <v>91</v>
      </c>
      <c r="E9" s="11" t="s">
        <v>97</v>
      </c>
      <c r="F9" s="11" t="s">
        <v>98</v>
      </c>
      <c r="G9" s="11" t="s">
        <v>58</v>
      </c>
      <c r="H9" s="11" t="s">
        <v>99</v>
      </c>
      <c r="I9" s="11" t="s">
        <v>100</v>
      </c>
      <c r="J9" s="12" t="s">
        <v>8</v>
      </c>
      <c r="K9" s="12"/>
      <c r="L9" s="12"/>
      <c r="M9" s="12"/>
      <c r="N9" s="12"/>
      <c r="O9" s="12" t="s">
        <v>60</v>
      </c>
      <c r="P9" s="12"/>
      <c r="Q9" s="12"/>
      <c r="R9" s="12"/>
      <c r="S9" s="12"/>
      <c r="T9" s="13" t="str">
        <f t="shared" si="0"/>
        <v>通過</v>
      </c>
      <c r="U9" s="13" t="str">
        <f t="shared" si="1"/>
        <v>我家有事情要處理</v>
      </c>
      <c r="V9" s="13" t="str">
        <f t="shared" si="2"/>
        <v>我/家/有/事情/去/負責/做</v>
      </c>
      <c r="W9" s="13" t="str">
        <f t="shared" si="3"/>
        <v>是</v>
      </c>
      <c r="X9" s="13" t="str">
        <f t="shared" si="4"/>
        <v>通過</v>
      </c>
    </row>
    <row r="10" spans="1:24" ht="34" customHeight="1">
      <c r="A10" s="11" t="s">
        <v>101</v>
      </c>
      <c r="B10" s="11" t="s">
        <v>101</v>
      </c>
      <c r="C10" s="11" t="s">
        <v>54</v>
      </c>
      <c r="D10" s="11" t="s">
        <v>102</v>
      </c>
      <c r="E10" s="11" t="s">
        <v>103</v>
      </c>
      <c r="F10" s="11" t="s">
        <v>104</v>
      </c>
      <c r="G10" s="11" t="s">
        <v>58</v>
      </c>
      <c r="H10" s="11" t="s">
        <v>105</v>
      </c>
      <c r="I10" s="11" t="s">
        <v>106</v>
      </c>
      <c r="J10" s="12" t="s">
        <v>8</v>
      </c>
      <c r="K10" s="12"/>
      <c r="L10" s="12"/>
      <c r="M10" s="12"/>
      <c r="N10" s="12"/>
      <c r="O10" s="12" t="s">
        <v>60</v>
      </c>
      <c r="P10" s="12"/>
      <c r="Q10" s="12"/>
      <c r="R10" s="12"/>
      <c r="S10" s="12"/>
      <c r="T10" s="13" t="str">
        <f t="shared" si="0"/>
        <v>通過</v>
      </c>
      <c r="U10" s="13" t="str">
        <f t="shared" si="1"/>
        <v>家庭對人有很大的影響</v>
      </c>
      <c r="V10" s="13" t="str">
        <f t="shared" si="2"/>
        <v>人/家/地方/影響/大</v>
      </c>
      <c r="W10" s="13" t="str">
        <f t="shared" si="3"/>
        <v>是</v>
      </c>
      <c r="X10" s="13" t="str">
        <f t="shared" si="4"/>
        <v>通過</v>
      </c>
    </row>
    <row r="11" spans="1:24" ht="34" customHeight="1">
      <c r="A11" s="11" t="s">
        <v>107</v>
      </c>
      <c r="B11" s="11" t="s">
        <v>107</v>
      </c>
      <c r="C11" s="11" t="s">
        <v>54</v>
      </c>
      <c r="D11" s="11" t="s">
        <v>108</v>
      </c>
      <c r="E11" s="11" t="s">
        <v>109</v>
      </c>
      <c r="F11" s="11" t="s">
        <v>110</v>
      </c>
      <c r="G11" s="11" t="s">
        <v>58</v>
      </c>
      <c r="H11" s="11" t="s">
        <v>111</v>
      </c>
      <c r="I11" s="11" t="s">
        <v>112</v>
      </c>
      <c r="J11" s="12" t="s">
        <v>8</v>
      </c>
      <c r="K11" s="12"/>
      <c r="L11" s="12"/>
      <c r="M11" s="12"/>
      <c r="N11" s="12"/>
      <c r="O11" s="12" t="s">
        <v>60</v>
      </c>
      <c r="P11" s="12"/>
      <c r="Q11" s="12"/>
      <c r="R11" s="12"/>
      <c r="S11" s="12"/>
      <c r="T11" s="13" t="str">
        <f t="shared" si="0"/>
        <v>通過</v>
      </c>
      <c r="U11" s="13" t="str">
        <f t="shared" si="1"/>
        <v>他看見蜜蜂就害怕</v>
      </c>
      <c r="V11" s="13" t="str">
        <f t="shared" si="2"/>
        <v>蜜蜂/他/見/怕</v>
      </c>
      <c r="W11" s="13" t="str">
        <f t="shared" si="3"/>
        <v>是</v>
      </c>
      <c r="X11" s="13" t="str">
        <f t="shared" si="4"/>
        <v>通過</v>
      </c>
    </row>
    <row r="12" spans="1:24" ht="34" customHeight="1">
      <c r="A12" s="11" t="s">
        <v>113</v>
      </c>
      <c r="B12" s="11" t="s">
        <v>113</v>
      </c>
      <c r="C12" s="11" t="s">
        <v>54</v>
      </c>
      <c r="D12" s="11" t="s">
        <v>108</v>
      </c>
      <c r="E12" s="11" t="s">
        <v>114</v>
      </c>
      <c r="F12" s="11" t="s">
        <v>115</v>
      </c>
      <c r="G12" s="11" t="s">
        <v>58</v>
      </c>
      <c r="H12" s="11" t="s">
        <v>116</v>
      </c>
      <c r="I12" s="11" t="s">
        <v>117</v>
      </c>
      <c r="J12" s="12" t="s">
        <v>8</v>
      </c>
      <c r="K12" s="12"/>
      <c r="L12" s="12"/>
      <c r="M12" s="12"/>
      <c r="N12" s="12"/>
      <c r="O12" s="12" t="s">
        <v>60</v>
      </c>
      <c r="P12" s="12"/>
      <c r="Q12" s="12"/>
      <c r="R12" s="12"/>
      <c r="S12" s="12"/>
      <c r="T12" s="13" t="str">
        <f t="shared" si="0"/>
        <v>通過</v>
      </c>
      <c r="U12" s="13" t="str">
        <f t="shared" si="1"/>
        <v>自己去森林很危險</v>
      </c>
      <c r="V12" s="13" t="str">
        <f t="shared" si="2"/>
        <v>自己/去/森林/危險/很</v>
      </c>
      <c r="W12" s="13" t="str">
        <f t="shared" si="3"/>
        <v>是</v>
      </c>
      <c r="X12" s="13" t="str">
        <f t="shared" si="4"/>
        <v>通過</v>
      </c>
    </row>
    <row r="13" spans="1:24" ht="34" customHeight="1">
      <c r="A13" s="11" t="s">
        <v>118</v>
      </c>
      <c r="B13" s="11" t="s">
        <v>118</v>
      </c>
      <c r="C13" s="11" t="s">
        <v>54</v>
      </c>
      <c r="D13" s="11" t="s">
        <v>108</v>
      </c>
      <c r="E13" s="11" t="s">
        <v>119</v>
      </c>
      <c r="F13" s="11" t="s">
        <v>120</v>
      </c>
      <c r="G13" s="11" t="s">
        <v>58</v>
      </c>
      <c r="H13" s="11" t="s">
        <v>121</v>
      </c>
      <c r="I13" s="11" t="s">
        <v>122</v>
      </c>
      <c r="J13" s="12" t="s">
        <v>8</v>
      </c>
      <c r="K13" s="12"/>
      <c r="L13" s="12"/>
      <c r="M13" s="12"/>
      <c r="N13" s="12"/>
      <c r="O13" s="12" t="s">
        <v>60</v>
      </c>
      <c r="P13" s="12"/>
      <c r="Q13" s="12"/>
      <c r="R13" s="12"/>
      <c r="S13" s="12"/>
      <c r="T13" s="13" t="str">
        <f t="shared" si="0"/>
        <v>通過</v>
      </c>
      <c r="U13" s="13" t="str">
        <f t="shared" si="1"/>
        <v>這麼繁重的工作，真叫我害怕</v>
      </c>
      <c r="V13" s="13" t="str">
        <f t="shared" si="2"/>
        <v>這/工作/這些/我/怕/很</v>
      </c>
      <c r="W13" s="13" t="str">
        <f t="shared" si="3"/>
        <v>是</v>
      </c>
      <c r="X13" s="13" t="str">
        <f t="shared" si="4"/>
        <v>通過</v>
      </c>
    </row>
    <row r="14" spans="1:24" ht="34" customHeight="1">
      <c r="A14" s="11" t="s">
        <v>123</v>
      </c>
      <c r="B14" s="11" t="s">
        <v>123</v>
      </c>
      <c r="C14" s="11" t="s">
        <v>54</v>
      </c>
      <c r="D14" s="11" t="s">
        <v>124</v>
      </c>
      <c r="E14" s="11" t="s">
        <v>125</v>
      </c>
      <c r="F14" s="11" t="s">
        <v>126</v>
      </c>
      <c r="G14" s="11" t="s">
        <v>58</v>
      </c>
      <c r="H14" s="11" t="s">
        <v>127</v>
      </c>
      <c r="I14" s="11" t="s">
        <v>128</v>
      </c>
      <c r="J14" s="12" t="s">
        <v>8</v>
      </c>
      <c r="K14" s="12"/>
      <c r="L14" s="12"/>
      <c r="M14" s="12"/>
      <c r="N14" s="12"/>
      <c r="O14" s="12" t="s">
        <v>60</v>
      </c>
      <c r="P14" s="12"/>
      <c r="Q14" s="12"/>
      <c r="R14" s="12"/>
      <c r="S14" s="12"/>
      <c r="T14" s="13" t="str">
        <f t="shared" si="0"/>
        <v>通過</v>
      </c>
      <c r="U14" s="13" t="str">
        <f t="shared" si="1"/>
        <v>我和他很怕閃電</v>
      </c>
      <c r="V14" s="13" t="str">
        <f t="shared" si="2"/>
        <v>電/我/他/怕</v>
      </c>
      <c r="W14" s="13" t="str">
        <f t="shared" si="3"/>
        <v>是</v>
      </c>
      <c r="X14" s="13" t="str">
        <f t="shared" si="4"/>
        <v>通過</v>
      </c>
    </row>
    <row r="15" spans="1:24" ht="34" customHeight="1">
      <c r="A15" s="11" t="s">
        <v>129</v>
      </c>
      <c r="B15" s="11" t="s">
        <v>129</v>
      </c>
      <c r="C15" s="11" t="s">
        <v>54</v>
      </c>
      <c r="D15" s="11" t="s">
        <v>130</v>
      </c>
      <c r="E15" s="11" t="s">
        <v>131</v>
      </c>
      <c r="F15" s="11" t="s">
        <v>132</v>
      </c>
      <c r="G15" s="11" t="s">
        <v>58</v>
      </c>
      <c r="H15" s="11" t="s">
        <v>133</v>
      </c>
      <c r="I15" s="11" t="s">
        <v>134</v>
      </c>
      <c r="J15" s="12" t="s">
        <v>8</v>
      </c>
      <c r="K15" s="12"/>
      <c r="L15" s="12"/>
      <c r="M15" s="12"/>
      <c r="N15" s="12"/>
      <c r="O15" s="12" t="s">
        <v>60</v>
      </c>
      <c r="P15" s="12"/>
      <c r="Q15" s="12"/>
      <c r="R15" s="12"/>
      <c r="S15" s="12"/>
      <c r="T15" s="13" t="str">
        <f t="shared" si="0"/>
        <v>通過</v>
      </c>
      <c r="U15" s="13" t="str">
        <f t="shared" si="1"/>
        <v>今天下午要去打籃球</v>
      </c>
      <c r="V15" s="13" t="str">
        <f t="shared" si="2"/>
        <v>今天/下午/去/籃球</v>
      </c>
      <c r="W15" s="13" t="str">
        <f t="shared" si="3"/>
        <v>是</v>
      </c>
      <c r="X15" s="13" t="str">
        <f t="shared" si="4"/>
        <v>通過</v>
      </c>
    </row>
    <row r="16" spans="1:24" ht="34" customHeight="1">
      <c r="A16" s="11" t="s">
        <v>135</v>
      </c>
      <c r="B16" s="11" t="s">
        <v>135</v>
      </c>
      <c r="C16" s="11" t="s">
        <v>54</v>
      </c>
      <c r="D16" s="11" t="s">
        <v>136</v>
      </c>
      <c r="E16" s="11" t="s">
        <v>137</v>
      </c>
      <c r="F16" s="11" t="s">
        <v>138</v>
      </c>
      <c r="G16" s="11" t="s">
        <v>58</v>
      </c>
      <c r="H16" s="11" t="s">
        <v>139</v>
      </c>
      <c r="I16" s="11" t="s">
        <v>140</v>
      </c>
      <c r="J16" s="12" t="s">
        <v>8</v>
      </c>
      <c r="K16" s="12"/>
      <c r="L16" s="12"/>
      <c r="M16" s="12"/>
      <c r="N16" s="12"/>
      <c r="O16" s="12" t="s">
        <v>60</v>
      </c>
      <c r="P16" s="12"/>
      <c r="Q16" s="12"/>
      <c r="R16" s="12"/>
      <c r="S16" s="12"/>
      <c r="T16" s="13" t="str">
        <f t="shared" si="0"/>
        <v>通過</v>
      </c>
      <c r="U16" s="13" t="str">
        <f t="shared" si="1"/>
        <v>歡迎再度來到台灣</v>
      </c>
      <c r="V16" s="13" t="str">
        <f t="shared" si="2"/>
        <v>高興/歡迎/再/來/台灣</v>
      </c>
      <c r="W16" s="13" t="str">
        <f t="shared" si="3"/>
        <v>是</v>
      </c>
      <c r="X16" s="13" t="str">
        <f t="shared" si="4"/>
        <v>通過</v>
      </c>
    </row>
    <row r="17" spans="1:24" ht="34" customHeight="1">
      <c r="A17" s="11" t="s">
        <v>141</v>
      </c>
      <c r="B17" s="11" t="s">
        <v>141</v>
      </c>
      <c r="C17" s="11" t="s">
        <v>54</v>
      </c>
      <c r="D17" s="11" t="s">
        <v>142</v>
      </c>
      <c r="E17" s="11" t="s">
        <v>143</v>
      </c>
      <c r="F17" s="11" t="s">
        <v>144</v>
      </c>
      <c r="G17" s="11" t="s">
        <v>58</v>
      </c>
      <c r="H17" s="11" t="s">
        <v>145</v>
      </c>
      <c r="I17" s="11" t="s">
        <v>146</v>
      </c>
      <c r="J17" s="12" t="s">
        <v>8</v>
      </c>
      <c r="K17" s="12"/>
      <c r="L17" s="12"/>
      <c r="M17" s="12"/>
      <c r="N17" s="12"/>
      <c r="O17" s="12" t="s">
        <v>60</v>
      </c>
      <c r="P17" s="12"/>
      <c r="Q17" s="12"/>
      <c r="R17" s="12"/>
      <c r="S17" s="12"/>
      <c r="T17" s="13" t="str">
        <f t="shared" si="0"/>
        <v>通過</v>
      </c>
      <c r="U17" s="13" t="str">
        <f t="shared" si="1"/>
        <v>我想(同意)他一定來</v>
      </c>
      <c r="V17" s="13" t="str">
        <f t="shared" si="2"/>
        <v>我/同意/他/來/會/一樣</v>
      </c>
      <c r="W17" s="13" t="str">
        <f t="shared" si="3"/>
        <v>是</v>
      </c>
      <c r="X17" s="13" t="str">
        <f t="shared" si="4"/>
        <v>通過</v>
      </c>
    </row>
    <row r="18" spans="1:24" ht="34" customHeight="1">
      <c r="A18" s="11" t="s">
        <v>147</v>
      </c>
      <c r="B18" s="11" t="s">
        <v>147</v>
      </c>
      <c r="C18" s="11" t="s">
        <v>54</v>
      </c>
      <c r="D18" s="11" t="s">
        <v>148</v>
      </c>
      <c r="E18" s="11" t="s">
        <v>149</v>
      </c>
      <c r="F18" s="11" t="s">
        <v>150</v>
      </c>
      <c r="G18" s="11" t="s">
        <v>58</v>
      </c>
      <c r="H18" s="11" t="s">
        <v>151</v>
      </c>
      <c r="I18" s="11" t="s">
        <v>152</v>
      </c>
      <c r="J18" s="12" t="s">
        <v>8</v>
      </c>
      <c r="K18" s="12"/>
      <c r="L18" s="12"/>
      <c r="M18" s="12"/>
      <c r="N18" s="12"/>
      <c r="O18" s="12" t="s">
        <v>60</v>
      </c>
      <c r="P18" s="12"/>
      <c r="Q18" s="12"/>
      <c r="R18" s="12"/>
      <c r="S18" s="12"/>
      <c r="T18" s="13" t="str">
        <f t="shared" si="0"/>
        <v>通過</v>
      </c>
      <c r="U18" s="13" t="str">
        <f t="shared" si="1"/>
        <v>他到機場觀賞飛機起降</v>
      </c>
      <c r="V18" s="13" t="str">
        <f t="shared" si="2"/>
        <v>機場/他/去/見/飛機起降</v>
      </c>
      <c r="W18" s="13" t="str">
        <f t="shared" si="3"/>
        <v>是</v>
      </c>
      <c r="X18" s="13" t="str">
        <f t="shared" si="4"/>
        <v>通過</v>
      </c>
    </row>
    <row r="19" spans="1:24" ht="34" customHeight="1">
      <c r="A19" s="11" t="s">
        <v>153</v>
      </c>
      <c r="B19" s="11" t="s">
        <v>153</v>
      </c>
      <c r="C19" s="11" t="s">
        <v>54</v>
      </c>
      <c r="D19" s="11" t="s">
        <v>154</v>
      </c>
      <c r="E19" s="11" t="s">
        <v>155</v>
      </c>
      <c r="F19" s="11" t="s">
        <v>156</v>
      </c>
      <c r="G19" s="11" t="s">
        <v>58</v>
      </c>
      <c r="H19" s="11" t="s">
        <v>157</v>
      </c>
      <c r="I19" s="11" t="s">
        <v>158</v>
      </c>
      <c r="J19" s="12" t="s">
        <v>8</v>
      </c>
      <c r="K19" s="12"/>
      <c r="L19" s="12"/>
      <c r="M19" s="12"/>
      <c r="N19" s="12"/>
      <c r="O19" s="12" t="s">
        <v>60</v>
      </c>
      <c r="P19" s="12"/>
      <c r="Q19" s="12"/>
      <c r="R19" s="12"/>
      <c r="S19" s="12"/>
      <c r="T19" s="13" t="str">
        <f t="shared" si="0"/>
        <v>通過</v>
      </c>
      <c r="U19" s="13" t="str">
        <f t="shared" si="1"/>
        <v>爸爸完全不知道這件事</v>
      </c>
      <c r="V19" s="13" t="str">
        <f t="shared" si="2"/>
        <v>這/事情/爸爸/完全/不知道</v>
      </c>
      <c r="W19" s="13" t="str">
        <f t="shared" si="3"/>
        <v>是</v>
      </c>
      <c r="X19" s="13" t="str">
        <f t="shared" si="4"/>
        <v>通過</v>
      </c>
    </row>
    <row r="20" spans="1:24" ht="34" customHeight="1">
      <c r="A20" s="11" t="s">
        <v>159</v>
      </c>
      <c r="B20" s="11" t="s">
        <v>159</v>
      </c>
      <c r="C20" s="11" t="s">
        <v>54</v>
      </c>
      <c r="D20" s="11" t="s">
        <v>154</v>
      </c>
      <c r="E20" s="11" t="s">
        <v>160</v>
      </c>
      <c r="F20" s="11" t="s">
        <v>161</v>
      </c>
      <c r="G20" s="11" t="s">
        <v>58</v>
      </c>
      <c r="H20" s="11" t="s">
        <v>162</v>
      </c>
      <c r="I20" s="11" t="s">
        <v>163</v>
      </c>
      <c r="J20" s="12" t="s">
        <v>8</v>
      </c>
      <c r="K20" s="12"/>
      <c r="L20" s="12"/>
      <c r="M20" s="12"/>
      <c r="N20" s="12"/>
      <c r="O20" s="12" t="s">
        <v>60</v>
      </c>
      <c r="P20" s="12"/>
      <c r="Q20" s="12"/>
      <c r="R20" s="12"/>
      <c r="S20" s="12"/>
      <c r="T20" s="13" t="str">
        <f t="shared" si="0"/>
        <v>通過</v>
      </c>
      <c r="U20" s="13" t="str">
        <f t="shared" si="1"/>
        <v>他完全聽不懂我說的話</v>
      </c>
      <c r="V20" s="13" t="str">
        <f t="shared" si="2"/>
        <v>我/說/我/演講/告訴/他/全部/一竅不通/不知道</v>
      </c>
      <c r="W20" s="13" t="str">
        <f t="shared" si="3"/>
        <v>是</v>
      </c>
      <c r="X20" s="13" t="str">
        <f t="shared" si="4"/>
        <v>通過</v>
      </c>
    </row>
    <row r="21" spans="1:24" ht="34" customHeight="1">
      <c r="A21" s="11" t="s">
        <v>164</v>
      </c>
      <c r="B21" s="11" t="s">
        <v>164</v>
      </c>
      <c r="C21" s="11" t="s">
        <v>54</v>
      </c>
      <c r="D21" s="11" t="s">
        <v>165</v>
      </c>
      <c r="E21" s="11" t="s">
        <v>166</v>
      </c>
      <c r="F21" s="11" t="s">
        <v>167</v>
      </c>
      <c r="G21" s="11" t="s">
        <v>58</v>
      </c>
      <c r="H21" s="11" t="s">
        <v>168</v>
      </c>
      <c r="I21" s="11" t="s">
        <v>169</v>
      </c>
      <c r="J21" s="12" t="s">
        <v>8</v>
      </c>
      <c r="K21" s="12"/>
      <c r="L21" s="12"/>
      <c r="M21" s="12"/>
      <c r="N21" s="12"/>
      <c r="O21" s="12" t="s">
        <v>60</v>
      </c>
      <c r="P21" s="12"/>
      <c r="Q21" s="12"/>
      <c r="R21" s="12"/>
      <c r="S21" s="12"/>
      <c r="T21" s="13" t="str">
        <f t="shared" si="0"/>
        <v>通過</v>
      </c>
      <c r="U21" s="13" t="str">
        <f t="shared" si="1"/>
        <v>他經常睡不著</v>
      </c>
      <c r="V21" s="13" t="str">
        <f t="shared" si="2"/>
        <v>他/睡/做不成/老是</v>
      </c>
      <c r="W21" s="13" t="str">
        <f t="shared" si="3"/>
        <v>是</v>
      </c>
      <c r="X21" s="13" t="str">
        <f t="shared" si="4"/>
        <v>通過</v>
      </c>
    </row>
    <row r="22" spans="1:24" ht="34" customHeight="1">
      <c r="A22" s="11" t="s">
        <v>170</v>
      </c>
      <c r="B22" s="11" t="s">
        <v>170</v>
      </c>
      <c r="C22" s="11" t="s">
        <v>54</v>
      </c>
      <c r="D22" s="11" t="s">
        <v>165</v>
      </c>
      <c r="E22" s="11" t="s">
        <v>171</v>
      </c>
      <c r="F22" s="11" t="s">
        <v>172</v>
      </c>
      <c r="G22" s="11" t="s">
        <v>58</v>
      </c>
      <c r="H22" s="11" t="s">
        <v>173</v>
      </c>
      <c r="I22" s="11" t="s">
        <v>174</v>
      </c>
      <c r="J22" s="12" t="s">
        <v>8</v>
      </c>
      <c r="K22" s="12"/>
      <c r="L22" s="12"/>
      <c r="M22" s="12"/>
      <c r="N22" s="12"/>
      <c r="O22" s="12" t="s">
        <v>60</v>
      </c>
      <c r="P22" s="12"/>
      <c r="Q22" s="12"/>
      <c r="R22" s="12"/>
      <c r="S22" s="12"/>
      <c r="T22" s="13" t="str">
        <f t="shared" si="0"/>
        <v>通過</v>
      </c>
      <c r="U22" s="13" t="str">
        <f t="shared" si="1"/>
        <v>我老是忘記寫功課</v>
      </c>
      <c r="V22" s="13" t="str">
        <f t="shared" si="2"/>
        <v>讀書/寫/我/忘記/老是</v>
      </c>
      <c r="W22" s="13" t="str">
        <f t="shared" si="3"/>
        <v>是</v>
      </c>
      <c r="X22" s="13" t="str">
        <f t="shared" si="4"/>
        <v>通過</v>
      </c>
    </row>
    <row r="23" spans="1:24" ht="34" customHeight="1">
      <c r="A23" s="11" t="s">
        <v>175</v>
      </c>
      <c r="B23" s="11" t="s">
        <v>175</v>
      </c>
      <c r="C23" s="11" t="s">
        <v>54</v>
      </c>
      <c r="D23" s="11" t="s">
        <v>176</v>
      </c>
      <c r="E23" s="11" t="s">
        <v>177</v>
      </c>
      <c r="F23" s="11" t="s">
        <v>178</v>
      </c>
      <c r="G23" s="11" t="s">
        <v>58</v>
      </c>
      <c r="H23" s="11" t="s">
        <v>179</v>
      </c>
      <c r="I23" s="11" t="s">
        <v>180</v>
      </c>
      <c r="J23" s="12" t="s">
        <v>8</v>
      </c>
      <c r="K23" s="12"/>
      <c r="L23" s="12"/>
      <c r="M23" s="12"/>
      <c r="N23" s="12"/>
      <c r="O23" s="12" t="s">
        <v>60</v>
      </c>
      <c r="P23" s="12"/>
      <c r="Q23" s="12"/>
      <c r="R23" s="12"/>
      <c r="S23" s="12"/>
      <c r="T23" s="13" t="str">
        <f t="shared" si="0"/>
        <v>通過</v>
      </c>
      <c r="U23" s="13" t="str">
        <f t="shared" si="1"/>
        <v>爸爸很生氣</v>
      </c>
      <c r="V23" s="13" t="str">
        <f t="shared" si="2"/>
        <v>爸爸/生氣/很</v>
      </c>
      <c r="W23" s="13" t="str">
        <f t="shared" si="3"/>
        <v>是</v>
      </c>
      <c r="X23" s="13" t="str">
        <f t="shared" si="4"/>
        <v>通過</v>
      </c>
    </row>
    <row r="24" spans="1:24" ht="34" customHeight="1">
      <c r="A24" s="11" t="s">
        <v>181</v>
      </c>
      <c r="B24" s="11" t="s">
        <v>181</v>
      </c>
      <c r="C24" s="11" t="s">
        <v>54</v>
      </c>
      <c r="D24" s="11" t="s">
        <v>182</v>
      </c>
      <c r="E24" s="11" t="s">
        <v>183</v>
      </c>
      <c r="F24" s="11" t="s">
        <v>184</v>
      </c>
      <c r="G24" s="11" t="s">
        <v>58</v>
      </c>
      <c r="H24" s="11" t="s">
        <v>185</v>
      </c>
      <c r="I24" s="11" t="s">
        <v>186</v>
      </c>
      <c r="J24" s="12" t="s">
        <v>8</v>
      </c>
      <c r="K24" s="12"/>
      <c r="L24" s="12"/>
      <c r="M24" s="12"/>
      <c r="N24" s="12"/>
      <c r="O24" s="12" t="s">
        <v>60</v>
      </c>
      <c r="P24" s="12"/>
      <c r="Q24" s="12"/>
      <c r="R24" s="12"/>
      <c r="S24" s="12"/>
      <c r="T24" s="13" t="str">
        <f t="shared" si="0"/>
        <v>通過</v>
      </c>
      <c r="U24" s="13" t="str">
        <f t="shared" si="1"/>
        <v>氣象局宣布明天颱風會侵台</v>
      </c>
      <c r="V24" s="13" t="str">
        <f t="shared" si="2"/>
        <v>天氣/地方/這/宣佈/明天/台灣/颱風/這</v>
      </c>
      <c r="W24" s="13" t="str">
        <f t="shared" si="3"/>
        <v>是</v>
      </c>
      <c r="X24" s="13" t="str">
        <f t="shared" si="4"/>
        <v>通過</v>
      </c>
    </row>
    <row r="25" spans="1:24" ht="34" customHeight="1">
      <c r="A25" s="11" t="s">
        <v>187</v>
      </c>
      <c r="B25" s="11" t="s">
        <v>187</v>
      </c>
      <c r="C25" s="11" t="s">
        <v>54</v>
      </c>
      <c r="D25" s="11" t="s">
        <v>188</v>
      </c>
      <c r="E25" s="11" t="s">
        <v>189</v>
      </c>
      <c r="F25" s="11" t="s">
        <v>190</v>
      </c>
      <c r="G25" s="11" t="s">
        <v>58</v>
      </c>
      <c r="H25" s="11" t="s">
        <v>191</v>
      </c>
      <c r="I25" s="11" t="s">
        <v>192</v>
      </c>
      <c r="J25" s="12" t="s">
        <v>8</v>
      </c>
      <c r="K25" s="12"/>
      <c r="L25" s="12"/>
      <c r="M25" s="12"/>
      <c r="N25" s="12"/>
      <c r="O25" s="12" t="s">
        <v>60</v>
      </c>
      <c r="P25" s="12"/>
      <c r="Q25" s="12"/>
      <c r="R25" s="12"/>
      <c r="S25" s="12"/>
      <c r="T25" s="13" t="str">
        <f t="shared" si="0"/>
        <v>通過</v>
      </c>
      <c r="U25" s="13" t="str">
        <f t="shared" si="1"/>
        <v>我剛剛已經回答了你的問題</v>
      </c>
      <c r="V25" s="13" t="str">
        <f t="shared" si="2"/>
        <v>你/問題/我/剛剛/回答你/完了</v>
      </c>
      <c r="W25" s="13" t="str">
        <f t="shared" si="3"/>
        <v>是</v>
      </c>
      <c r="X25" s="13" t="str">
        <f t="shared" si="4"/>
        <v>通過</v>
      </c>
    </row>
    <row r="26" spans="1:24" ht="34" customHeight="1">
      <c r="A26" s="11" t="s">
        <v>193</v>
      </c>
      <c r="B26" s="11" t="s">
        <v>193</v>
      </c>
      <c r="C26" s="11" t="s">
        <v>54</v>
      </c>
      <c r="D26" s="11" t="s">
        <v>194</v>
      </c>
      <c r="E26" s="11" t="s">
        <v>195</v>
      </c>
      <c r="F26" s="11" t="s">
        <v>196</v>
      </c>
      <c r="G26" s="11" t="s">
        <v>58</v>
      </c>
      <c r="H26" s="11" t="s">
        <v>197</v>
      </c>
      <c r="I26" s="11" t="s">
        <v>198</v>
      </c>
      <c r="J26" s="12" t="s">
        <v>8</v>
      </c>
      <c r="K26" s="12"/>
      <c r="L26" s="12"/>
      <c r="M26" s="12"/>
      <c r="N26" s="12"/>
      <c r="O26" s="12" t="s">
        <v>60</v>
      </c>
      <c r="P26" s="12"/>
      <c r="Q26" s="12"/>
      <c r="R26" s="12"/>
      <c r="S26" s="12"/>
      <c r="T26" s="13" t="str">
        <f t="shared" si="0"/>
        <v>通過</v>
      </c>
      <c r="U26" s="13" t="str">
        <f t="shared" si="1"/>
        <v>他開車經過了許多高樓</v>
      </c>
      <c r="V26" s="13" t="str">
        <f t="shared" si="2"/>
        <v>大樓/他/開車/經過</v>
      </c>
      <c r="W26" s="13" t="str">
        <f t="shared" si="3"/>
        <v>是</v>
      </c>
      <c r="X26" s="13" t="str">
        <f t="shared" si="4"/>
        <v>通過</v>
      </c>
    </row>
    <row r="27" spans="1:24" ht="34" customHeight="1">
      <c r="A27" s="11" t="s">
        <v>199</v>
      </c>
      <c r="B27" s="11" t="s">
        <v>199</v>
      </c>
      <c r="C27" s="11" t="s">
        <v>54</v>
      </c>
      <c r="D27" s="11" t="s">
        <v>200</v>
      </c>
      <c r="E27" s="11" t="s">
        <v>201</v>
      </c>
      <c r="F27" s="11" t="s">
        <v>202</v>
      </c>
      <c r="G27" s="11" t="s">
        <v>58</v>
      </c>
      <c r="H27" s="11" t="s">
        <v>203</v>
      </c>
      <c r="I27" s="11" t="s">
        <v>204</v>
      </c>
      <c r="J27" s="12" t="s">
        <v>8</v>
      </c>
      <c r="K27" s="12"/>
      <c r="L27" s="12"/>
      <c r="M27" s="12"/>
      <c r="N27" s="12"/>
      <c r="O27" s="12" t="s">
        <v>60</v>
      </c>
      <c r="P27" s="12"/>
      <c r="Q27" s="12"/>
      <c r="R27" s="12"/>
      <c r="S27" s="12"/>
      <c r="T27" s="13" t="str">
        <f t="shared" si="0"/>
        <v>通過</v>
      </c>
      <c r="U27" s="13" t="str">
        <f t="shared" si="1"/>
        <v>我們約明天下午三點見面</v>
      </c>
      <c r="V27" s="13" t="str">
        <f t="shared" si="2"/>
        <v>我們兩個/明天/下午/三點/約/見面</v>
      </c>
      <c r="W27" s="13" t="str">
        <f t="shared" si="3"/>
        <v>是</v>
      </c>
      <c r="X27" s="13" t="str">
        <f t="shared" si="4"/>
        <v>通過</v>
      </c>
    </row>
    <row r="28" spans="1:24" ht="34" customHeight="1">
      <c r="A28" s="11" t="s">
        <v>205</v>
      </c>
      <c r="B28" s="11" t="s">
        <v>205</v>
      </c>
      <c r="C28" s="11" t="s">
        <v>54</v>
      </c>
      <c r="D28" s="11" t="s">
        <v>206</v>
      </c>
      <c r="E28" s="11" t="s">
        <v>207</v>
      </c>
      <c r="F28" s="11" t="s">
        <v>208</v>
      </c>
      <c r="G28" s="11" t="s">
        <v>58</v>
      </c>
      <c r="H28" s="11" t="s">
        <v>209</v>
      </c>
      <c r="I28" s="11" t="s">
        <v>210</v>
      </c>
      <c r="J28" s="12" t="s">
        <v>8</v>
      </c>
      <c r="K28" s="12"/>
      <c r="L28" s="12"/>
      <c r="M28" s="12"/>
      <c r="N28" s="12"/>
      <c r="O28" s="12" t="s">
        <v>60</v>
      </c>
      <c r="P28" s="12"/>
      <c r="Q28" s="12"/>
      <c r="R28" s="12"/>
      <c r="S28" s="12"/>
      <c r="T28" s="13" t="str">
        <f t="shared" si="0"/>
        <v>通過</v>
      </c>
      <c r="U28" s="13" t="str">
        <f t="shared" si="1"/>
        <v>明天我安排了一場會議</v>
      </c>
      <c r="V28" s="13" t="str">
        <f t="shared" si="2"/>
        <v>明天/會議/我/安排/完了</v>
      </c>
      <c r="W28" s="13" t="str">
        <f t="shared" si="3"/>
        <v>是</v>
      </c>
      <c r="X28" s="13" t="str">
        <f t="shared" si="4"/>
        <v>通過</v>
      </c>
    </row>
    <row r="29" spans="1:24" ht="34" customHeight="1">
      <c r="A29" s="11" t="s">
        <v>211</v>
      </c>
      <c r="B29" s="11" t="s">
        <v>211</v>
      </c>
      <c r="C29" s="11" t="s">
        <v>54</v>
      </c>
      <c r="D29" s="11" t="s">
        <v>206</v>
      </c>
      <c r="E29" s="11" t="s">
        <v>212</v>
      </c>
      <c r="F29" s="11" t="s">
        <v>213</v>
      </c>
      <c r="G29" s="11" t="s">
        <v>58</v>
      </c>
      <c r="H29" s="11" t="s">
        <v>214</v>
      </c>
      <c r="I29" s="11" t="s">
        <v>215</v>
      </c>
      <c r="J29" s="12" t="s">
        <v>8</v>
      </c>
      <c r="K29" s="12"/>
      <c r="L29" s="12"/>
      <c r="M29" s="12"/>
      <c r="N29" s="12"/>
      <c r="O29" s="12" t="s">
        <v>60</v>
      </c>
      <c r="P29" s="12"/>
      <c r="Q29" s="12"/>
      <c r="R29" s="12"/>
      <c r="S29" s="12"/>
      <c r="T29" s="13" t="str">
        <f t="shared" si="0"/>
        <v>通過</v>
      </c>
      <c r="U29" s="13" t="str">
        <f t="shared" si="1"/>
        <v>媽媽昨天整理好了客廳</v>
      </c>
      <c r="V29" s="13" t="str">
        <f t="shared" si="2"/>
        <v>媽媽/昨天/整理/客/地方/整理/結束</v>
      </c>
      <c r="W29" s="13" t="str">
        <f t="shared" si="3"/>
        <v>是</v>
      </c>
      <c r="X29" s="13" t="str">
        <f t="shared" si="4"/>
        <v>通過</v>
      </c>
    </row>
    <row r="30" spans="1:24" ht="34" customHeight="1">
      <c r="A30" s="11" t="s">
        <v>216</v>
      </c>
      <c r="B30" s="11" t="s">
        <v>216</v>
      </c>
      <c r="C30" s="11" t="s">
        <v>54</v>
      </c>
      <c r="D30" s="11" t="s">
        <v>217</v>
      </c>
      <c r="E30" s="11" t="s">
        <v>218</v>
      </c>
      <c r="F30" s="11" t="s">
        <v>219</v>
      </c>
      <c r="G30" s="11" t="s">
        <v>58</v>
      </c>
      <c r="H30" s="11" t="s">
        <v>220</v>
      </c>
      <c r="I30" s="11" t="s">
        <v>221</v>
      </c>
      <c r="J30" s="12" t="s">
        <v>8</v>
      </c>
      <c r="K30" s="12"/>
      <c r="L30" s="12"/>
      <c r="M30" s="12"/>
      <c r="N30" s="12"/>
      <c r="O30" s="12" t="s">
        <v>60</v>
      </c>
      <c r="P30" s="12"/>
      <c r="Q30" s="12"/>
      <c r="R30" s="12"/>
      <c r="S30" s="12"/>
      <c r="T30" s="13" t="str">
        <f t="shared" si="0"/>
        <v>通過</v>
      </c>
      <c r="U30" s="13" t="str">
        <f t="shared" si="1"/>
        <v>我今天上班又遲到了</v>
      </c>
      <c r="V30" s="13" t="str">
        <f t="shared" si="2"/>
        <v>今天/工作/我/遲到/又來了</v>
      </c>
      <c r="W30" s="13" t="str">
        <f t="shared" si="3"/>
        <v>是</v>
      </c>
      <c r="X30" s="13" t="str">
        <f t="shared" si="4"/>
        <v>通過</v>
      </c>
    </row>
    <row r="31" spans="1:24" ht="34" customHeight="1">
      <c r="A31" s="11" t="s">
        <v>222</v>
      </c>
      <c r="B31" s="11" t="s">
        <v>222</v>
      </c>
      <c r="C31" s="11" t="s">
        <v>54</v>
      </c>
      <c r="D31" s="11" t="s">
        <v>223</v>
      </c>
      <c r="E31" s="11" t="s">
        <v>224</v>
      </c>
      <c r="F31" s="11" t="s">
        <v>225</v>
      </c>
      <c r="G31" s="11" t="s">
        <v>58</v>
      </c>
      <c r="H31" s="11" t="s">
        <v>226</v>
      </c>
      <c r="I31" s="11" t="s">
        <v>227</v>
      </c>
      <c r="J31" s="12" t="s">
        <v>8</v>
      </c>
      <c r="K31" s="12"/>
      <c r="L31" s="12"/>
      <c r="M31" s="12"/>
      <c r="N31" s="12"/>
      <c r="O31" s="12" t="s">
        <v>60</v>
      </c>
      <c r="P31" s="12"/>
      <c r="Q31" s="12"/>
      <c r="R31" s="12"/>
      <c r="S31" s="12"/>
      <c r="T31" s="13" t="str">
        <f t="shared" si="0"/>
        <v>通過</v>
      </c>
      <c r="U31" s="13" t="str">
        <f t="shared" si="1"/>
        <v>他問了我一道數學題目</v>
      </c>
      <c r="V31" s="13" t="str">
        <f t="shared" si="2"/>
        <v>數學/題/他/問我</v>
      </c>
      <c r="W31" s="13" t="str">
        <f t="shared" si="3"/>
        <v>是</v>
      </c>
      <c r="X31" s="13" t="str">
        <f t="shared" si="4"/>
        <v>通過</v>
      </c>
    </row>
    <row r="32" spans="1:24" ht="34" customHeight="1">
      <c r="A32" s="11" t="s">
        <v>228</v>
      </c>
      <c r="B32" s="11" t="s">
        <v>228</v>
      </c>
      <c r="C32" s="11" t="s">
        <v>54</v>
      </c>
      <c r="D32" s="11" t="s">
        <v>229</v>
      </c>
      <c r="E32" s="11" t="s">
        <v>230</v>
      </c>
      <c r="F32" s="11" t="s">
        <v>231</v>
      </c>
      <c r="G32" s="11" t="s">
        <v>58</v>
      </c>
      <c r="H32" s="11" t="s">
        <v>232</v>
      </c>
      <c r="I32" s="11" t="s">
        <v>233</v>
      </c>
      <c r="J32" s="12" t="s">
        <v>8</v>
      </c>
      <c r="K32" s="12"/>
      <c r="L32" s="12"/>
      <c r="M32" s="12"/>
      <c r="N32" s="12"/>
      <c r="O32" s="12" t="s">
        <v>60</v>
      </c>
      <c r="P32" s="12"/>
      <c r="Q32" s="12"/>
      <c r="R32" s="12"/>
      <c r="S32" s="12"/>
      <c r="T32" s="13" t="str">
        <f t="shared" si="0"/>
        <v>通過</v>
      </c>
      <c r="U32" s="13" t="str">
        <f t="shared" si="1"/>
        <v>我們要分配好自己的時間，這樣做事才會有效率</v>
      </c>
      <c r="V32" s="13" t="str">
        <f t="shared" si="2"/>
        <v>我/這些/自己/時間/分配/要/工作/事情/試試看/完成/快</v>
      </c>
      <c r="W32" s="13" t="str">
        <f t="shared" si="3"/>
        <v>是</v>
      </c>
      <c r="X32" s="13" t="str">
        <f t="shared" si="4"/>
        <v>通過</v>
      </c>
    </row>
    <row r="33" spans="1:24" ht="34" customHeight="1">
      <c r="A33" s="11" t="s">
        <v>234</v>
      </c>
      <c r="B33" s="11" t="s">
        <v>234</v>
      </c>
      <c r="C33" s="11" t="s">
        <v>54</v>
      </c>
      <c r="D33" s="11" t="s">
        <v>235</v>
      </c>
      <c r="E33" s="11" t="s">
        <v>236</v>
      </c>
      <c r="F33" s="11" t="s">
        <v>237</v>
      </c>
      <c r="G33" s="11" t="s">
        <v>58</v>
      </c>
      <c r="H33" s="11" t="s">
        <v>238</v>
      </c>
      <c r="I33" s="11" t="s">
        <v>239</v>
      </c>
      <c r="J33" s="12" t="s">
        <v>8</v>
      </c>
      <c r="K33" s="12"/>
      <c r="L33" s="12"/>
      <c r="M33" s="12"/>
      <c r="N33" s="12"/>
      <c r="O33" s="12" t="s">
        <v>60</v>
      </c>
      <c r="P33" s="12"/>
      <c r="Q33" s="12"/>
      <c r="R33" s="12"/>
      <c r="S33" s="12"/>
      <c r="T33" s="13" t="str">
        <f t="shared" si="0"/>
        <v>通過</v>
      </c>
      <c r="U33" s="13" t="str">
        <f t="shared" si="1"/>
        <v>你不要引誘他人做違法的事情</v>
      </c>
      <c r="V33" s="13" t="str">
        <f t="shared" si="2"/>
        <v>你/不要/引誘/什麼/違法/做/事情/不</v>
      </c>
      <c r="W33" s="13" t="str">
        <f t="shared" si="3"/>
        <v>是</v>
      </c>
      <c r="X33" s="13" t="str">
        <f t="shared" si="4"/>
        <v>通過</v>
      </c>
    </row>
    <row r="34" spans="1:24" ht="34" customHeight="1">
      <c r="A34" s="11" t="s">
        <v>240</v>
      </c>
      <c r="B34" s="11" t="s">
        <v>240</v>
      </c>
      <c r="C34" s="11" t="s">
        <v>54</v>
      </c>
      <c r="D34" s="11" t="s">
        <v>241</v>
      </c>
      <c r="E34" s="11" t="s">
        <v>242</v>
      </c>
      <c r="F34" s="11" t="s">
        <v>243</v>
      </c>
      <c r="G34" s="11" t="s">
        <v>58</v>
      </c>
      <c r="H34" s="11" t="s">
        <v>244</v>
      </c>
      <c r="I34" s="11" t="s">
        <v>245</v>
      </c>
      <c r="J34" s="12" t="s">
        <v>8</v>
      </c>
      <c r="K34" s="12"/>
      <c r="L34" s="12"/>
      <c r="M34" s="12"/>
      <c r="N34" s="12"/>
      <c r="O34" s="12" t="s">
        <v>60</v>
      </c>
      <c r="P34" s="12"/>
      <c r="Q34" s="12"/>
      <c r="R34" s="12"/>
      <c r="S34" s="12"/>
      <c r="T34" s="13" t="str">
        <f t="shared" si="0"/>
        <v>通過</v>
      </c>
      <c r="U34" s="13" t="str">
        <f t="shared" si="1"/>
        <v>房子後面開了許多玫瑰花</v>
      </c>
      <c r="V34" s="13" t="str">
        <f t="shared" si="2"/>
        <v>房子/後面/這/開花/玫瑰</v>
      </c>
      <c r="W34" s="13" t="str">
        <f t="shared" si="3"/>
        <v>是</v>
      </c>
      <c r="X34" s="13" t="str">
        <f t="shared" si="4"/>
        <v>通過</v>
      </c>
    </row>
    <row r="35" spans="1:24" ht="34" customHeight="1">
      <c r="A35" s="11" t="s">
        <v>246</v>
      </c>
      <c r="B35" s="11" t="s">
        <v>246</v>
      </c>
      <c r="C35" s="11" t="s">
        <v>54</v>
      </c>
      <c r="D35" s="11" t="s">
        <v>247</v>
      </c>
      <c r="E35" s="11" t="s">
        <v>248</v>
      </c>
      <c r="F35" s="11" t="s">
        <v>249</v>
      </c>
      <c r="G35" s="11" t="s">
        <v>58</v>
      </c>
      <c r="H35" s="11" t="s">
        <v>250</v>
      </c>
      <c r="I35" s="11" t="s">
        <v>251</v>
      </c>
      <c r="J35" s="12" t="s">
        <v>8</v>
      </c>
      <c r="K35" s="12"/>
      <c r="L35" s="12"/>
      <c r="M35" s="12"/>
      <c r="N35" s="12"/>
      <c r="O35" s="12" t="s">
        <v>60</v>
      </c>
      <c r="P35" s="12"/>
      <c r="Q35" s="12"/>
      <c r="R35" s="12"/>
      <c r="S35" s="12"/>
      <c r="T35" s="13" t="str">
        <f t="shared" si="0"/>
        <v>通過</v>
      </c>
      <c r="U35" s="13" t="str">
        <f t="shared" si="1"/>
        <v>歹徒心狠手辣，非常殘忍</v>
      </c>
      <c r="V35" s="13" t="str">
        <f t="shared" si="2"/>
        <v>這/壞/人/壞/心/殘忍/壞/很</v>
      </c>
      <c r="W35" s="13" t="str">
        <f t="shared" si="3"/>
        <v>是</v>
      </c>
      <c r="X35" s="13" t="str">
        <f t="shared" si="4"/>
        <v>通過</v>
      </c>
    </row>
    <row r="36" spans="1:24" ht="34" customHeight="1">
      <c r="A36" s="11" t="s">
        <v>252</v>
      </c>
      <c r="B36" s="11" t="s">
        <v>252</v>
      </c>
      <c r="C36" s="11" t="s">
        <v>54</v>
      </c>
      <c r="D36" s="11" t="s">
        <v>253</v>
      </c>
      <c r="E36" s="11" t="s">
        <v>254</v>
      </c>
      <c r="F36" s="11" t="s">
        <v>255</v>
      </c>
      <c r="G36" s="11" t="s">
        <v>58</v>
      </c>
      <c r="H36" s="11" t="s">
        <v>256</v>
      </c>
      <c r="I36" s="11" t="s">
        <v>257</v>
      </c>
      <c r="J36" s="12" t="s">
        <v>8</v>
      </c>
      <c r="K36" s="12"/>
      <c r="L36" s="12"/>
      <c r="M36" s="12"/>
      <c r="N36" s="12"/>
      <c r="O36" s="12" t="s">
        <v>60</v>
      </c>
      <c r="P36" s="12"/>
      <c r="Q36" s="12"/>
      <c r="R36" s="12"/>
      <c r="S36" s="12"/>
      <c r="T36" s="13" t="str">
        <f t="shared" si="0"/>
        <v>通過</v>
      </c>
      <c r="U36" s="13" t="str">
        <f t="shared" si="1"/>
        <v>他獲保釋後接受電視專訪</v>
      </c>
      <c r="V36" s="13" t="str">
        <f t="shared" si="2"/>
        <v>他/保釋/保釋/電視/訪問</v>
      </c>
      <c r="W36" s="13" t="str">
        <f t="shared" si="3"/>
        <v>是</v>
      </c>
      <c r="X36" s="13" t="str">
        <f t="shared" si="4"/>
        <v>通過</v>
      </c>
    </row>
    <row r="37" spans="1:24" ht="34" customHeight="1">
      <c r="A37" s="11" t="s">
        <v>258</v>
      </c>
      <c r="B37" s="11" t="s">
        <v>258</v>
      </c>
      <c r="C37" s="11" t="s">
        <v>54</v>
      </c>
      <c r="D37" s="11" t="s">
        <v>259</v>
      </c>
      <c r="E37" s="11" t="s">
        <v>260</v>
      </c>
      <c r="F37" s="11" t="s">
        <v>261</v>
      </c>
      <c r="G37" s="11" t="s">
        <v>58</v>
      </c>
      <c r="H37" s="11" t="s">
        <v>262</v>
      </c>
      <c r="I37" s="11" t="s">
        <v>263</v>
      </c>
      <c r="J37" s="12" t="s">
        <v>8</v>
      </c>
      <c r="K37" s="12"/>
      <c r="L37" s="12"/>
      <c r="M37" s="12"/>
      <c r="N37" s="12"/>
      <c r="O37" s="12" t="s">
        <v>60</v>
      </c>
      <c r="P37" s="12"/>
      <c r="Q37" s="12"/>
      <c r="R37" s="12"/>
      <c r="S37" s="12"/>
      <c r="T37" s="13" t="str">
        <f t="shared" si="0"/>
        <v>通過</v>
      </c>
      <c r="U37" s="13" t="str">
        <f t="shared" si="1"/>
        <v>這間銀行很古老</v>
      </c>
      <c r="V37" s="13" t="str">
        <f t="shared" si="2"/>
        <v>這/銀行/地方/銀行/舊/古老</v>
      </c>
      <c r="W37" s="13" t="str">
        <f t="shared" si="3"/>
        <v>是</v>
      </c>
      <c r="X37" s="13" t="str">
        <f t="shared" si="4"/>
        <v>通過</v>
      </c>
    </row>
    <row r="38" spans="1:24" ht="34" customHeight="1">
      <c r="A38" s="11" t="s">
        <v>264</v>
      </c>
      <c r="B38" s="11" t="s">
        <v>264</v>
      </c>
      <c r="C38" s="11" t="s">
        <v>54</v>
      </c>
      <c r="D38" s="11" t="s">
        <v>265</v>
      </c>
      <c r="E38" s="11" t="s">
        <v>266</v>
      </c>
      <c r="F38" s="11" t="s">
        <v>267</v>
      </c>
      <c r="G38" s="11" t="s">
        <v>58</v>
      </c>
      <c r="H38" s="11" t="s">
        <v>268</v>
      </c>
      <c r="I38" s="11" t="s">
        <v>269</v>
      </c>
      <c r="J38" s="12" t="s">
        <v>8</v>
      </c>
      <c r="K38" s="12"/>
      <c r="L38" s="12"/>
      <c r="M38" s="12"/>
      <c r="N38" s="12"/>
      <c r="O38" s="12" t="s">
        <v>60</v>
      </c>
      <c r="P38" s="12"/>
      <c r="Q38" s="12"/>
      <c r="R38" s="12"/>
      <c r="S38" s="12"/>
      <c r="T38" s="13" t="str">
        <f t="shared" si="0"/>
        <v>通過</v>
      </c>
      <c r="U38" s="13" t="str">
        <f t="shared" si="1"/>
        <v>藝人日前記者會宣布破產</v>
      </c>
      <c r="V38" s="13" t="str">
        <f t="shared" si="2"/>
        <v>藝人/他/將來的最近/紀錄/人/會議/宣佈/我/破產</v>
      </c>
      <c r="W38" s="13" t="str">
        <f t="shared" si="3"/>
        <v>是</v>
      </c>
      <c r="X38" s="13" t="str">
        <f t="shared" si="4"/>
        <v>通過</v>
      </c>
    </row>
    <row r="39" spans="1:24" ht="34" customHeight="1">
      <c r="A39" s="11" t="s">
        <v>270</v>
      </c>
      <c r="B39" s="11" t="s">
        <v>270</v>
      </c>
      <c r="C39" s="11" t="s">
        <v>54</v>
      </c>
      <c r="D39" s="11" t="s">
        <v>271</v>
      </c>
      <c r="E39" s="11" t="s">
        <v>272</v>
      </c>
      <c r="F39" s="11" t="s">
        <v>273</v>
      </c>
      <c r="G39" s="11" t="s">
        <v>58</v>
      </c>
      <c r="H39" s="11" t="s">
        <v>274</v>
      </c>
      <c r="I39" s="11" t="s">
        <v>275</v>
      </c>
      <c r="J39" s="12" t="s">
        <v>8</v>
      </c>
      <c r="K39" s="12"/>
      <c r="L39" s="12"/>
      <c r="M39" s="12"/>
      <c r="N39" s="12"/>
      <c r="O39" s="12" t="s">
        <v>60</v>
      </c>
      <c r="P39" s="12"/>
      <c r="Q39" s="12"/>
      <c r="R39" s="12"/>
      <c r="S39" s="12"/>
      <c r="T39" s="13" t="str">
        <f t="shared" si="0"/>
        <v>通過</v>
      </c>
      <c r="U39" s="13" t="str">
        <f t="shared" si="1"/>
        <v>籃球是我最喜歡的運動</v>
      </c>
      <c r="V39" s="13" t="str">
        <f t="shared" si="2"/>
        <v>運動/類別/其中/籃球/我/喜歡/很</v>
      </c>
      <c r="W39" s="13" t="str">
        <f t="shared" si="3"/>
        <v>是</v>
      </c>
      <c r="X39" s="13" t="str">
        <f t="shared" si="4"/>
        <v>通過</v>
      </c>
    </row>
    <row r="40" spans="1:24" ht="34" customHeight="1">
      <c r="A40" s="11" t="s">
        <v>276</v>
      </c>
      <c r="B40" s="11" t="s">
        <v>276</v>
      </c>
      <c r="C40" s="11" t="s">
        <v>54</v>
      </c>
      <c r="D40" s="11" t="s">
        <v>277</v>
      </c>
      <c r="E40" s="11" t="s">
        <v>278</v>
      </c>
      <c r="F40" s="11" t="s">
        <v>279</v>
      </c>
      <c r="G40" s="11" t="s">
        <v>58</v>
      </c>
      <c r="H40" s="11" t="s">
        <v>280</v>
      </c>
      <c r="I40" s="11" t="s">
        <v>281</v>
      </c>
      <c r="J40" s="12" t="s">
        <v>8</v>
      </c>
      <c r="K40" s="12"/>
      <c r="L40" s="12"/>
      <c r="M40" s="12"/>
      <c r="N40" s="12"/>
      <c r="O40" s="12" t="s">
        <v>60</v>
      </c>
      <c r="P40" s="12"/>
      <c r="Q40" s="12"/>
      <c r="R40" s="12"/>
      <c r="S40" s="12"/>
      <c r="T40" s="13" t="str">
        <f t="shared" si="0"/>
        <v>通過</v>
      </c>
      <c r="U40" s="13" t="str">
        <f t="shared" si="1"/>
        <v>他每天早晚都洗澡</v>
      </c>
      <c r="V40" s="13" t="str">
        <f t="shared" si="2"/>
        <v>他/每天/早上/晚上/洗澡</v>
      </c>
      <c r="W40" s="13" t="str">
        <f t="shared" si="3"/>
        <v>是</v>
      </c>
      <c r="X40" s="13" t="str">
        <f t="shared" si="4"/>
        <v>通過</v>
      </c>
    </row>
    <row r="41" spans="1:24" ht="34" customHeight="1">
      <c r="A41" s="11" t="s">
        <v>282</v>
      </c>
      <c r="B41" s="11" t="s">
        <v>282</v>
      </c>
      <c r="C41" s="11" t="s">
        <v>54</v>
      </c>
      <c r="D41" s="11" t="s">
        <v>283</v>
      </c>
      <c r="E41" s="11" t="s">
        <v>284</v>
      </c>
      <c r="F41" s="11" t="s">
        <v>285</v>
      </c>
      <c r="G41" s="11" t="s">
        <v>58</v>
      </c>
      <c r="H41" s="11" t="s">
        <v>286</v>
      </c>
      <c r="I41" s="11" t="s">
        <v>287</v>
      </c>
      <c r="J41" s="12" t="s">
        <v>8</v>
      </c>
      <c r="K41" s="12"/>
      <c r="L41" s="12"/>
      <c r="M41" s="12"/>
      <c r="N41" s="12"/>
      <c r="O41" s="12" t="s">
        <v>60</v>
      </c>
      <c r="P41" s="12"/>
      <c r="Q41" s="12"/>
      <c r="R41" s="12"/>
      <c r="S41" s="12"/>
      <c r="T41" s="13" t="str">
        <f t="shared" si="0"/>
        <v>通過</v>
      </c>
      <c r="U41" s="13" t="str">
        <f t="shared" si="1"/>
        <v>公園裡的玫瑰很美</v>
      </c>
      <c r="V41" s="13" t="str">
        <f t="shared" si="2"/>
        <v>公園/花/玫瑰/美</v>
      </c>
      <c r="W41" s="13" t="str">
        <f t="shared" si="3"/>
        <v>是</v>
      </c>
      <c r="X41" s="13" t="str">
        <f t="shared" si="4"/>
        <v>通過</v>
      </c>
    </row>
    <row r="42" spans="1:24" ht="34" customHeight="1">
      <c r="A42" s="11" t="s">
        <v>288</v>
      </c>
      <c r="B42" s="11" t="s">
        <v>288</v>
      </c>
      <c r="C42" s="11" t="s">
        <v>54</v>
      </c>
      <c r="D42" s="11" t="s">
        <v>283</v>
      </c>
      <c r="E42" s="11" t="s">
        <v>289</v>
      </c>
      <c r="F42" s="11" t="s">
        <v>290</v>
      </c>
      <c r="G42" s="11" t="s">
        <v>58</v>
      </c>
      <c r="H42" s="11" t="s">
        <v>291</v>
      </c>
      <c r="I42" s="11" t="s">
        <v>292</v>
      </c>
      <c r="J42" s="12" t="s">
        <v>8</v>
      </c>
      <c r="K42" s="12"/>
      <c r="L42" s="12"/>
      <c r="M42" s="12"/>
      <c r="N42" s="12"/>
      <c r="O42" s="12" t="s">
        <v>60</v>
      </c>
      <c r="P42" s="12"/>
      <c r="Q42" s="12"/>
      <c r="R42" s="12"/>
      <c r="S42" s="12"/>
      <c r="T42" s="13" t="str">
        <f t="shared" si="0"/>
        <v>通過</v>
      </c>
      <c r="U42" s="13" t="str">
        <f t="shared" si="1"/>
        <v>我喜歡那個漂亮的女生</v>
      </c>
      <c r="V42" s="13" t="str">
        <f t="shared" si="2"/>
        <v>那/女生/漂亮/我/喜歡/見/喜歡</v>
      </c>
      <c r="W42" s="13" t="str">
        <f t="shared" si="3"/>
        <v>是</v>
      </c>
      <c r="X42" s="13" t="str">
        <f t="shared" si="4"/>
        <v>通過</v>
      </c>
    </row>
    <row r="43" spans="1:24" ht="34" customHeight="1">
      <c r="A43" s="11" t="s">
        <v>293</v>
      </c>
      <c r="B43" s="11" t="s">
        <v>293</v>
      </c>
      <c r="C43" s="11" t="s">
        <v>54</v>
      </c>
      <c r="D43" s="11" t="s">
        <v>294</v>
      </c>
      <c r="E43" s="11" t="s">
        <v>295</v>
      </c>
      <c r="F43" s="11" t="s">
        <v>296</v>
      </c>
      <c r="G43" s="11" t="s">
        <v>58</v>
      </c>
      <c r="H43" s="11" t="s">
        <v>297</v>
      </c>
      <c r="I43" s="11" t="s">
        <v>298</v>
      </c>
      <c r="J43" s="12" t="s">
        <v>8</v>
      </c>
      <c r="K43" s="12"/>
      <c r="L43" s="12"/>
      <c r="M43" s="12"/>
      <c r="N43" s="12"/>
      <c r="O43" s="12" t="s">
        <v>60</v>
      </c>
      <c r="P43" s="12"/>
      <c r="Q43" s="12"/>
      <c r="R43" s="12"/>
      <c r="S43" s="12"/>
      <c r="T43" s="13" t="str">
        <f t="shared" si="0"/>
        <v>通過</v>
      </c>
      <c r="U43" s="13" t="str">
        <f t="shared" si="1"/>
        <v>森林遊玩要注意蜜蜂，以免被攻擊</v>
      </c>
      <c r="V43" s="13" t="str">
        <f t="shared" si="2"/>
        <v>去/森林/玩/注意/什麼/蜜蜂/攻擊/小心/如果/攻擊/你/注意</v>
      </c>
      <c r="W43" s="13" t="str">
        <f t="shared" si="3"/>
        <v>是</v>
      </c>
      <c r="X43" s="13" t="str">
        <f t="shared" si="4"/>
        <v>通過</v>
      </c>
    </row>
    <row r="44" spans="1:24" ht="34" customHeight="1">
      <c r="A44" s="11" t="s">
        <v>299</v>
      </c>
      <c r="B44" s="11" t="s">
        <v>299</v>
      </c>
      <c r="C44" s="11" t="s">
        <v>54</v>
      </c>
      <c r="D44" s="11" t="s">
        <v>300</v>
      </c>
      <c r="E44" s="11" t="s">
        <v>301</v>
      </c>
      <c r="F44" s="11" t="s">
        <v>302</v>
      </c>
      <c r="G44" s="11" t="s">
        <v>58</v>
      </c>
      <c r="H44" s="11" t="s">
        <v>303</v>
      </c>
      <c r="I44" s="11" t="s">
        <v>304</v>
      </c>
      <c r="J44" s="12" t="s">
        <v>8</v>
      </c>
      <c r="K44" s="12"/>
      <c r="L44" s="12"/>
      <c r="M44" s="12"/>
      <c r="N44" s="12"/>
      <c r="O44" s="12" t="s">
        <v>60</v>
      </c>
      <c r="P44" s="12"/>
      <c r="Q44" s="12"/>
      <c r="R44" s="12"/>
      <c r="S44" s="12"/>
      <c r="T44" s="13" t="str">
        <f t="shared" si="0"/>
        <v>通過</v>
      </c>
      <c r="U44" s="13" t="str">
        <f t="shared" si="1"/>
        <v>德國人喜歡喝啤酒</v>
      </c>
      <c r="V44" s="13" t="str">
        <f t="shared" si="2"/>
        <v>德國/人/那/啤酒/那/喜歡/喝/喜歡</v>
      </c>
      <c r="W44" s="13" t="str">
        <f t="shared" si="3"/>
        <v>是</v>
      </c>
      <c r="X44" s="13" t="str">
        <f t="shared" si="4"/>
        <v>通過</v>
      </c>
    </row>
    <row r="45" spans="1:24" ht="34" customHeight="1">
      <c r="A45" s="11" t="s">
        <v>305</v>
      </c>
      <c r="B45" s="11" t="s">
        <v>305</v>
      </c>
      <c r="C45" s="11" t="s">
        <v>54</v>
      </c>
      <c r="D45" s="11" t="s">
        <v>306</v>
      </c>
      <c r="E45" s="11" t="s">
        <v>307</v>
      </c>
      <c r="F45" s="11" t="s">
        <v>308</v>
      </c>
      <c r="G45" s="11" t="s">
        <v>58</v>
      </c>
      <c r="H45" s="11" t="s">
        <v>309</v>
      </c>
      <c r="I45" s="11" t="s">
        <v>310</v>
      </c>
      <c r="J45" s="12" t="s">
        <v>8</v>
      </c>
      <c r="K45" s="12"/>
      <c r="L45" s="12"/>
      <c r="M45" s="12"/>
      <c r="N45" s="12"/>
      <c r="O45" s="12" t="s">
        <v>60</v>
      </c>
      <c r="P45" s="12"/>
      <c r="Q45" s="12"/>
      <c r="R45" s="12"/>
      <c r="S45" s="12"/>
      <c r="T45" s="13" t="str">
        <f t="shared" si="0"/>
        <v>通過</v>
      </c>
      <c r="U45" s="13" t="str">
        <f t="shared" si="1"/>
        <v>我求媽媽帶我去動物園玩</v>
      </c>
      <c r="V45" s="13" t="str">
        <f t="shared" si="2"/>
        <v>動物園/玩/這/我/求/媽媽/求/媽媽/我/帶/去</v>
      </c>
      <c r="W45" s="13" t="str">
        <f t="shared" si="3"/>
        <v>是</v>
      </c>
      <c r="X45" s="13" t="str">
        <f t="shared" si="4"/>
        <v>通過</v>
      </c>
    </row>
    <row r="46" spans="1:24" ht="34" customHeight="1">
      <c r="A46" s="11" t="s">
        <v>311</v>
      </c>
      <c r="B46" s="11" t="s">
        <v>311</v>
      </c>
      <c r="C46" s="11" t="s">
        <v>54</v>
      </c>
      <c r="D46" s="11" t="s">
        <v>312</v>
      </c>
      <c r="E46" s="11" t="s">
        <v>313</v>
      </c>
      <c r="F46" s="11" t="s">
        <v>314</v>
      </c>
      <c r="G46" s="11" t="s">
        <v>58</v>
      </c>
      <c r="H46" s="11" t="s">
        <v>315</v>
      </c>
      <c r="I46" s="11" t="s">
        <v>316</v>
      </c>
      <c r="J46" s="12" t="s">
        <v>8</v>
      </c>
      <c r="K46" s="12"/>
      <c r="L46" s="12"/>
      <c r="M46" s="12"/>
      <c r="N46" s="12"/>
      <c r="O46" s="12" t="s">
        <v>60</v>
      </c>
      <c r="P46" s="12"/>
      <c r="Q46" s="12"/>
      <c r="R46" s="12"/>
      <c r="S46" s="12"/>
      <c r="T46" s="13" t="str">
        <f t="shared" si="0"/>
        <v>通過</v>
      </c>
      <c r="U46" s="13" t="str">
        <f t="shared" si="1"/>
        <v>我相信他不是故意的</v>
      </c>
      <c r="V46" s="13" t="str">
        <f t="shared" si="2"/>
        <v>我/相信/他/故意/不是</v>
      </c>
      <c r="W46" s="13" t="str">
        <f t="shared" si="3"/>
        <v>是</v>
      </c>
      <c r="X46" s="13" t="str">
        <f t="shared" si="4"/>
        <v>通過</v>
      </c>
    </row>
    <row r="47" spans="1:24" ht="34" customHeight="1">
      <c r="A47" s="11" t="s">
        <v>317</v>
      </c>
      <c r="B47" s="11" t="s">
        <v>317</v>
      </c>
      <c r="C47" s="11" t="s">
        <v>54</v>
      </c>
      <c r="D47" s="11" t="s">
        <v>318</v>
      </c>
      <c r="E47" s="11" t="s">
        <v>319</v>
      </c>
      <c r="F47" s="11" t="s">
        <v>320</v>
      </c>
      <c r="G47" s="11" t="s">
        <v>58</v>
      </c>
      <c r="H47" s="11" t="s">
        <v>321</v>
      </c>
      <c r="I47" s="11" t="s">
        <v>322</v>
      </c>
      <c r="J47" s="12" t="s">
        <v>8</v>
      </c>
      <c r="K47" s="12"/>
      <c r="L47" s="12"/>
      <c r="M47" s="12"/>
      <c r="N47" s="12"/>
      <c r="O47" s="12" t="s">
        <v>60</v>
      </c>
      <c r="P47" s="12"/>
      <c r="Q47" s="12"/>
      <c r="R47" s="12"/>
      <c r="S47" s="12"/>
      <c r="T47" s="13" t="str">
        <f t="shared" si="0"/>
        <v>通過</v>
      </c>
      <c r="U47" s="13" t="str">
        <f t="shared" si="1"/>
        <v>我們去買飲料</v>
      </c>
      <c r="V47" s="13" t="str">
        <f t="shared" si="2"/>
        <v>我們/去/飲料/買</v>
      </c>
      <c r="W47" s="13" t="str">
        <f t="shared" si="3"/>
        <v>是</v>
      </c>
      <c r="X47" s="13" t="str">
        <f t="shared" si="4"/>
        <v>通過</v>
      </c>
    </row>
    <row r="48" spans="1:24" ht="34" customHeight="1">
      <c r="A48" s="11" t="s">
        <v>323</v>
      </c>
      <c r="B48" s="11" t="s">
        <v>323</v>
      </c>
      <c r="C48" s="11" t="s">
        <v>54</v>
      </c>
      <c r="D48" s="11" t="s">
        <v>324</v>
      </c>
      <c r="E48" s="11" t="s">
        <v>325</v>
      </c>
      <c r="F48" s="11" t="s">
        <v>326</v>
      </c>
      <c r="G48" s="11" t="s">
        <v>58</v>
      </c>
      <c r="H48" s="11" t="s">
        <v>327</v>
      </c>
      <c r="I48" s="11" t="s">
        <v>328</v>
      </c>
      <c r="J48" s="12" t="s">
        <v>8</v>
      </c>
      <c r="K48" s="12"/>
      <c r="L48" s="12"/>
      <c r="M48" s="12"/>
      <c r="N48" s="12"/>
      <c r="O48" s="12" t="s">
        <v>60</v>
      </c>
      <c r="P48" s="12"/>
      <c r="Q48" s="12"/>
      <c r="R48" s="12"/>
      <c r="S48" s="12"/>
      <c r="T48" s="13" t="str">
        <f t="shared" si="0"/>
        <v>通過</v>
      </c>
      <c r="U48" s="13" t="str">
        <f t="shared" si="1"/>
        <v>我每天騎腳踏車上學</v>
      </c>
      <c r="V48" s="13" t="str">
        <f t="shared" si="2"/>
        <v>我/每天/騎腳踏車/去/讀書</v>
      </c>
      <c r="W48" s="13" t="str">
        <f t="shared" si="3"/>
        <v>是</v>
      </c>
      <c r="X48" s="13" t="str">
        <f t="shared" si="4"/>
        <v>通過</v>
      </c>
    </row>
    <row r="49" spans="1:24" ht="34" customHeight="1">
      <c r="A49" s="11" t="s">
        <v>329</v>
      </c>
      <c r="B49" s="11" t="s">
        <v>329</v>
      </c>
      <c r="C49" s="11" t="s">
        <v>54</v>
      </c>
      <c r="D49" s="11" t="s">
        <v>330</v>
      </c>
      <c r="E49" s="11" t="s">
        <v>331</v>
      </c>
      <c r="F49" s="11" t="s">
        <v>332</v>
      </c>
      <c r="G49" s="11" t="s">
        <v>58</v>
      </c>
      <c r="H49" s="11" t="s">
        <v>333</v>
      </c>
      <c r="I49" s="11" t="s">
        <v>334</v>
      </c>
      <c r="J49" s="12" t="s">
        <v>8</v>
      </c>
      <c r="K49" s="12"/>
      <c r="L49" s="12"/>
      <c r="M49" s="12"/>
      <c r="N49" s="12"/>
      <c r="O49" s="12" t="s">
        <v>60</v>
      </c>
      <c r="P49" s="12"/>
      <c r="Q49" s="12"/>
      <c r="R49" s="12"/>
      <c r="S49" s="12"/>
      <c r="T49" s="13" t="str">
        <f t="shared" si="0"/>
        <v>通過</v>
      </c>
      <c r="U49" s="13" t="str">
        <f t="shared" si="1"/>
        <v>那隻鳥的顏色很特別</v>
      </c>
      <c r="V49" s="13" t="str">
        <f t="shared" si="2"/>
        <v>那/鳥/顏色/特別</v>
      </c>
      <c r="W49" s="13" t="str">
        <f t="shared" si="3"/>
        <v>是</v>
      </c>
      <c r="X49" s="13" t="str">
        <f t="shared" si="4"/>
        <v>通過</v>
      </c>
    </row>
    <row r="50" spans="1:24" ht="34" customHeight="1">
      <c r="A50" s="11" t="s">
        <v>335</v>
      </c>
      <c r="B50" s="11" t="s">
        <v>335</v>
      </c>
      <c r="C50" s="11" t="s">
        <v>54</v>
      </c>
      <c r="D50" s="11" t="s">
        <v>336</v>
      </c>
      <c r="E50" s="11" t="s">
        <v>337</v>
      </c>
      <c r="F50" s="11" t="s">
        <v>338</v>
      </c>
      <c r="G50" s="11" t="s">
        <v>58</v>
      </c>
      <c r="H50" s="11" t="s">
        <v>339</v>
      </c>
      <c r="I50" s="11" t="s">
        <v>340</v>
      </c>
      <c r="J50" s="12" t="s">
        <v>8</v>
      </c>
      <c r="K50" s="12"/>
      <c r="L50" s="12"/>
      <c r="M50" s="12"/>
      <c r="N50" s="12"/>
      <c r="O50" s="12" t="s">
        <v>60</v>
      </c>
      <c r="P50" s="12"/>
      <c r="Q50" s="12"/>
      <c r="R50" s="12"/>
      <c r="S50" s="12"/>
      <c r="T50" s="13" t="str">
        <f t="shared" si="0"/>
        <v>通過</v>
      </c>
      <c r="U50" s="13" t="str">
        <f t="shared" si="1"/>
        <v>他的白髮變黑了，好神奇</v>
      </c>
      <c r="V50" s="13" t="str">
        <f t="shared" si="2"/>
        <v>他/白/髮/變/黑/奇怪</v>
      </c>
      <c r="W50" s="13" t="str">
        <f t="shared" si="3"/>
        <v>是</v>
      </c>
      <c r="X50" s="13" t="str">
        <f t="shared" si="4"/>
        <v>通過</v>
      </c>
    </row>
    <row r="51" spans="1:24" ht="34" customHeight="1">
      <c r="A51" s="11" t="s">
        <v>341</v>
      </c>
      <c r="B51" s="11" t="s">
        <v>341</v>
      </c>
      <c r="C51" s="11" t="s">
        <v>54</v>
      </c>
      <c r="D51" s="11" t="s">
        <v>342</v>
      </c>
      <c r="E51" s="11" t="s">
        <v>343</v>
      </c>
      <c r="F51" s="11" t="s">
        <v>344</v>
      </c>
      <c r="G51" s="11" t="s">
        <v>58</v>
      </c>
      <c r="H51" s="11" t="s">
        <v>345</v>
      </c>
      <c r="I51" s="11" t="s">
        <v>346</v>
      </c>
      <c r="J51" s="12" t="s">
        <v>8</v>
      </c>
      <c r="K51" s="12"/>
      <c r="L51" s="12"/>
      <c r="M51" s="12"/>
      <c r="N51" s="12"/>
      <c r="O51" s="12" t="s">
        <v>60</v>
      </c>
      <c r="P51" s="12"/>
      <c r="Q51" s="12"/>
      <c r="R51" s="12"/>
      <c r="S51" s="12"/>
      <c r="T51" s="13" t="str">
        <f t="shared" si="0"/>
        <v>通過</v>
      </c>
      <c r="U51" s="13" t="str">
        <f t="shared" si="1"/>
        <v>請朝著這張紙吹氣</v>
      </c>
      <c r="V51" s="13" t="str">
        <f t="shared" si="2"/>
        <v>這/張/這/吹</v>
      </c>
      <c r="W51" s="13" t="str">
        <f t="shared" si="3"/>
        <v>是</v>
      </c>
      <c r="X51" s="13" t="str">
        <f t="shared" si="4"/>
        <v>通過</v>
      </c>
    </row>
    <row r="52" spans="1:24" ht="34" customHeight="1">
      <c r="A52" s="11" t="s">
        <v>347</v>
      </c>
      <c r="B52" s="11" t="s">
        <v>347</v>
      </c>
      <c r="C52" s="11" t="s">
        <v>54</v>
      </c>
      <c r="D52" s="11" t="s">
        <v>348</v>
      </c>
      <c r="E52" s="11" t="s">
        <v>349</v>
      </c>
      <c r="F52" s="11" t="s">
        <v>350</v>
      </c>
      <c r="G52" s="11" t="s">
        <v>58</v>
      </c>
      <c r="H52" s="11" t="s">
        <v>351</v>
      </c>
      <c r="I52" s="11" t="s">
        <v>352</v>
      </c>
      <c r="J52" s="12" t="s">
        <v>8</v>
      </c>
      <c r="K52" s="12"/>
      <c r="L52" s="12"/>
      <c r="M52" s="12"/>
      <c r="N52" s="12"/>
      <c r="O52" s="12" t="s">
        <v>60</v>
      </c>
      <c r="P52" s="12"/>
      <c r="Q52" s="12"/>
      <c r="R52" s="12"/>
      <c r="S52" s="12"/>
      <c r="T52" s="13" t="str">
        <f t="shared" si="0"/>
        <v>通過</v>
      </c>
      <c r="U52" s="13" t="str">
        <f t="shared" si="1"/>
        <v>今天的天空是藍色的</v>
      </c>
      <c r="V52" s="13" t="str">
        <f t="shared" si="2"/>
        <v>今天/顏色/天空/藍/顏色</v>
      </c>
      <c r="W52" s="13" t="str">
        <f t="shared" si="3"/>
        <v>是</v>
      </c>
      <c r="X52" s="13" t="str">
        <f t="shared" si="4"/>
        <v>通過</v>
      </c>
    </row>
    <row r="53" spans="1:24" ht="34" customHeight="1">
      <c r="A53" s="11" t="s">
        <v>353</v>
      </c>
      <c r="B53" s="11" t="s">
        <v>353</v>
      </c>
      <c r="C53" s="11" t="s">
        <v>54</v>
      </c>
      <c r="D53" s="11" t="s">
        <v>354</v>
      </c>
      <c r="E53" s="11" t="s">
        <v>355</v>
      </c>
      <c r="F53" s="11" t="s">
        <v>356</v>
      </c>
      <c r="G53" s="11" t="s">
        <v>58</v>
      </c>
      <c r="H53" s="11" t="s">
        <v>357</v>
      </c>
      <c r="I53" s="11" t="s">
        <v>358</v>
      </c>
      <c r="J53" s="12" t="s">
        <v>8</v>
      </c>
      <c r="K53" s="12"/>
      <c r="L53" s="12"/>
      <c r="M53" s="12"/>
      <c r="N53" s="12"/>
      <c r="O53" s="12" t="s">
        <v>60</v>
      </c>
      <c r="P53" s="12"/>
      <c r="Q53" s="12"/>
      <c r="R53" s="12"/>
      <c r="S53" s="12"/>
      <c r="T53" s="13" t="str">
        <f t="shared" si="0"/>
        <v>通過</v>
      </c>
      <c r="U53" s="13" t="str">
        <f t="shared" si="1"/>
        <v>每天跑步對身體很好</v>
      </c>
      <c r="V53" s="13" t="str">
        <f t="shared" si="2"/>
        <v>每天/跑/身體/對/好</v>
      </c>
      <c r="W53" s="13" t="str">
        <f t="shared" si="3"/>
        <v>是</v>
      </c>
      <c r="X53" s="13" t="str">
        <f t="shared" si="4"/>
        <v>通過</v>
      </c>
    </row>
    <row r="54" spans="1:24" ht="34" customHeight="1">
      <c r="A54" s="11" t="s">
        <v>359</v>
      </c>
      <c r="B54" s="11" t="s">
        <v>359</v>
      </c>
      <c r="C54" s="11" t="s">
        <v>54</v>
      </c>
      <c r="D54" s="11" t="s">
        <v>360</v>
      </c>
      <c r="E54" s="11" t="s">
        <v>361</v>
      </c>
      <c r="F54" s="11" t="s">
        <v>362</v>
      </c>
      <c r="G54" s="11" t="s">
        <v>58</v>
      </c>
      <c r="H54" s="11" t="s">
        <v>363</v>
      </c>
      <c r="I54" s="11" t="s">
        <v>364</v>
      </c>
      <c r="J54" s="12" t="s">
        <v>8</v>
      </c>
      <c r="K54" s="12"/>
      <c r="L54" s="12"/>
      <c r="M54" s="12"/>
      <c r="N54" s="12"/>
      <c r="O54" s="12" t="s">
        <v>60</v>
      </c>
      <c r="P54" s="12"/>
      <c r="Q54" s="12"/>
      <c r="R54" s="12"/>
      <c r="S54" s="12"/>
      <c r="T54" s="13" t="str">
        <f t="shared" si="0"/>
        <v>通過</v>
      </c>
      <c r="U54" s="13" t="str">
        <f t="shared" si="1"/>
        <v>我喜歡煮魚料理</v>
      </c>
      <c r="V54" s="13" t="str">
        <f t="shared" si="2"/>
        <v>魚/煮/我/喜歡</v>
      </c>
      <c r="W54" s="13" t="str">
        <f t="shared" si="3"/>
        <v>是</v>
      </c>
      <c r="X54" s="13" t="str">
        <f t="shared" si="4"/>
        <v>通過</v>
      </c>
    </row>
    <row r="55" spans="1:24" ht="34" customHeight="1">
      <c r="A55" s="11" t="s">
        <v>365</v>
      </c>
      <c r="B55" s="11" t="s">
        <v>365</v>
      </c>
      <c r="C55" s="11" t="s">
        <v>54</v>
      </c>
      <c r="D55" s="11" t="s">
        <v>366</v>
      </c>
      <c r="E55" s="11" t="s">
        <v>367</v>
      </c>
      <c r="F55" s="11" t="s">
        <v>368</v>
      </c>
      <c r="G55" s="11" t="s">
        <v>58</v>
      </c>
      <c r="H55" s="11" t="s">
        <v>369</v>
      </c>
      <c r="I55" s="11" t="s">
        <v>370</v>
      </c>
      <c r="J55" s="12" t="s">
        <v>8</v>
      </c>
      <c r="K55" s="12"/>
      <c r="L55" s="12"/>
      <c r="M55" s="12"/>
      <c r="N55" s="12"/>
      <c r="O55" s="12" t="s">
        <v>60</v>
      </c>
      <c r="P55" s="12"/>
      <c r="Q55" s="12"/>
      <c r="R55" s="12"/>
      <c r="S55" s="12"/>
      <c r="T55" s="13" t="str">
        <f t="shared" si="0"/>
        <v>通過</v>
      </c>
      <c r="U55" s="13" t="str">
        <f t="shared" si="1"/>
        <v>照顧小孩真麻煩</v>
      </c>
      <c r="V55" s="13" t="str">
        <f t="shared" si="2"/>
        <v>小孩/照顧/麻煩</v>
      </c>
      <c r="W55" s="13" t="str">
        <f t="shared" si="3"/>
        <v>是</v>
      </c>
      <c r="X55" s="13" t="str">
        <f t="shared" si="4"/>
        <v>通過</v>
      </c>
    </row>
    <row r="56" spans="1:24" ht="34" customHeight="1">
      <c r="A56" s="11" t="s">
        <v>371</v>
      </c>
      <c r="B56" s="11" t="s">
        <v>371</v>
      </c>
      <c r="C56" s="11" t="s">
        <v>54</v>
      </c>
      <c r="D56" s="11" t="s">
        <v>372</v>
      </c>
      <c r="E56" s="11" t="s">
        <v>373</v>
      </c>
      <c r="F56" s="11" t="s">
        <v>374</v>
      </c>
      <c r="G56" s="11" t="s">
        <v>58</v>
      </c>
      <c r="H56" s="11" t="s">
        <v>375</v>
      </c>
      <c r="I56" s="11" t="s">
        <v>376</v>
      </c>
      <c r="J56" s="12" t="s">
        <v>8</v>
      </c>
      <c r="K56" s="12"/>
      <c r="L56" s="12"/>
      <c r="M56" s="12"/>
      <c r="N56" s="12"/>
      <c r="O56" s="12" t="s">
        <v>60</v>
      </c>
      <c r="P56" s="12"/>
      <c r="Q56" s="12"/>
      <c r="R56" s="12"/>
      <c r="S56" s="12"/>
      <c r="T56" s="13" t="str">
        <f t="shared" si="0"/>
        <v>通過</v>
      </c>
      <c r="U56" s="13" t="str">
        <f t="shared" si="1"/>
        <v>一碗米飯大概三百卡</v>
      </c>
      <c r="V56" s="13" t="str">
        <f t="shared" si="2"/>
        <v>米/碗/大概/三百/熱/程度</v>
      </c>
      <c r="W56" s="13" t="str">
        <f t="shared" si="3"/>
        <v>是</v>
      </c>
      <c r="X56" s="13" t="str">
        <f t="shared" si="4"/>
        <v>通過</v>
      </c>
    </row>
    <row r="57" spans="1:24" ht="34" customHeight="1">
      <c r="A57" s="11" t="s">
        <v>377</v>
      </c>
      <c r="B57" s="11" t="s">
        <v>377</v>
      </c>
      <c r="C57" s="11" t="s">
        <v>54</v>
      </c>
      <c r="D57" s="11" t="s">
        <v>378</v>
      </c>
      <c r="E57" s="11" t="s">
        <v>379</v>
      </c>
      <c r="F57" s="11" t="s">
        <v>380</v>
      </c>
      <c r="G57" s="11" t="s">
        <v>58</v>
      </c>
      <c r="H57" s="11" t="s">
        <v>381</v>
      </c>
      <c r="I57" s="11" t="s">
        <v>382</v>
      </c>
      <c r="J57" s="12" t="s">
        <v>8</v>
      </c>
      <c r="K57" s="12"/>
      <c r="L57" s="12"/>
      <c r="M57" s="12"/>
      <c r="N57" s="12"/>
      <c r="O57" s="12" t="s">
        <v>60</v>
      </c>
      <c r="P57" s="12"/>
      <c r="Q57" s="12"/>
      <c r="R57" s="12"/>
      <c r="S57" s="12"/>
      <c r="T57" s="13" t="str">
        <f t="shared" si="0"/>
        <v>通過</v>
      </c>
      <c r="U57" s="13" t="str">
        <f t="shared" si="1"/>
        <v>這個盒子是空的</v>
      </c>
      <c r="V57" s="13" t="str">
        <f t="shared" si="2"/>
        <v>這/盒子/空</v>
      </c>
      <c r="W57" s="13" t="str">
        <f t="shared" si="3"/>
        <v>是</v>
      </c>
      <c r="X57" s="13" t="str">
        <f t="shared" si="4"/>
        <v>通過</v>
      </c>
    </row>
    <row r="58" spans="1:24" ht="34" customHeight="1">
      <c r="A58" s="11" t="s">
        <v>383</v>
      </c>
      <c r="B58" s="11" t="s">
        <v>383</v>
      </c>
      <c r="C58" s="11" t="s">
        <v>54</v>
      </c>
      <c r="D58" s="11" t="s">
        <v>384</v>
      </c>
      <c r="E58" s="11" t="s">
        <v>385</v>
      </c>
      <c r="F58" s="11" t="s">
        <v>386</v>
      </c>
      <c r="G58" s="11" t="s">
        <v>58</v>
      </c>
      <c r="H58" s="11" t="s">
        <v>387</v>
      </c>
      <c r="I58" s="11" t="s">
        <v>388</v>
      </c>
      <c r="J58" s="12" t="s">
        <v>8</v>
      </c>
      <c r="K58" s="12"/>
      <c r="L58" s="12"/>
      <c r="M58" s="12"/>
      <c r="N58" s="12"/>
      <c r="O58" s="12" t="s">
        <v>60</v>
      </c>
      <c r="P58" s="12"/>
      <c r="Q58" s="12"/>
      <c r="R58" s="12"/>
      <c r="S58" s="12"/>
      <c r="T58" s="13" t="str">
        <f t="shared" si="0"/>
        <v>通過</v>
      </c>
      <c r="U58" s="13" t="str">
        <f t="shared" si="1"/>
        <v>他買的麵包很香</v>
      </c>
      <c r="V58" s="13" t="str">
        <f t="shared" si="2"/>
        <v>麵包/他/買/這/香</v>
      </c>
      <c r="W58" s="13" t="str">
        <f t="shared" si="3"/>
        <v>是</v>
      </c>
      <c r="X58" s="13" t="str">
        <f t="shared" si="4"/>
        <v>通過</v>
      </c>
    </row>
    <row r="59" spans="1:24" ht="34" customHeight="1">
      <c r="A59" s="11" t="s">
        <v>389</v>
      </c>
      <c r="B59" s="11" t="s">
        <v>389</v>
      </c>
      <c r="C59" s="11" t="s">
        <v>54</v>
      </c>
      <c r="D59" s="11" t="s">
        <v>390</v>
      </c>
      <c r="E59" s="11" t="s">
        <v>391</v>
      </c>
      <c r="F59" s="11" t="s">
        <v>392</v>
      </c>
      <c r="G59" s="11" t="s">
        <v>58</v>
      </c>
      <c r="H59" s="11" t="s">
        <v>393</v>
      </c>
      <c r="I59" s="11" t="s">
        <v>394</v>
      </c>
      <c r="J59" s="12" t="s">
        <v>8</v>
      </c>
      <c r="K59" s="12"/>
      <c r="L59" s="12"/>
      <c r="M59" s="12"/>
      <c r="N59" s="12"/>
      <c r="O59" s="12" t="s">
        <v>60</v>
      </c>
      <c r="P59" s="12"/>
      <c r="Q59" s="12"/>
      <c r="R59" s="12"/>
      <c r="S59" s="12"/>
      <c r="T59" s="13" t="str">
        <f t="shared" si="0"/>
        <v>通過</v>
      </c>
      <c r="U59" s="13" t="str">
        <f t="shared" si="1"/>
        <v>弟弟打破了這個玻璃杯</v>
      </c>
      <c r="V59" s="13" t="str">
        <f t="shared" si="2"/>
        <v>玻璃/杯子/這/弟弟/拿/打破</v>
      </c>
      <c r="W59" s="13" t="str">
        <f t="shared" si="3"/>
        <v>是</v>
      </c>
      <c r="X59" s="13" t="str">
        <f t="shared" si="4"/>
        <v>通過</v>
      </c>
    </row>
    <row r="60" spans="1:24" ht="34" customHeight="1">
      <c r="A60" s="11" t="s">
        <v>395</v>
      </c>
      <c r="B60" s="11" t="s">
        <v>395</v>
      </c>
      <c r="C60" s="11" t="s">
        <v>54</v>
      </c>
      <c r="D60" s="11" t="s">
        <v>396</v>
      </c>
      <c r="E60" s="11" t="s">
        <v>397</v>
      </c>
      <c r="F60" s="11" t="s">
        <v>398</v>
      </c>
      <c r="G60" s="11" t="s">
        <v>58</v>
      </c>
      <c r="H60" s="11" t="s">
        <v>399</v>
      </c>
      <c r="I60" s="11" t="s">
        <v>400</v>
      </c>
      <c r="J60" s="12" t="s">
        <v>8</v>
      </c>
      <c r="K60" s="12"/>
      <c r="L60" s="12"/>
      <c r="M60" s="12"/>
      <c r="N60" s="12"/>
      <c r="O60" s="12" t="s">
        <v>60</v>
      </c>
      <c r="P60" s="12"/>
      <c r="Q60" s="12"/>
      <c r="R60" s="12"/>
      <c r="S60" s="12"/>
      <c r="T60" s="13" t="str">
        <f t="shared" si="0"/>
        <v>通過</v>
      </c>
      <c r="U60" s="13" t="str">
        <f t="shared" si="1"/>
        <v>集市擠滿了買賣東西的人</v>
      </c>
      <c r="V60" s="13" t="str">
        <f t="shared" si="2"/>
        <v>買賣/地方/人/擠/買/賣/東西/賣</v>
      </c>
      <c r="W60" s="13" t="str">
        <f t="shared" si="3"/>
        <v>是</v>
      </c>
      <c r="X60" s="13" t="str">
        <f t="shared" si="4"/>
        <v>通過</v>
      </c>
    </row>
    <row r="61" spans="1:24" ht="34" customHeight="1">
      <c r="A61" s="11" t="s">
        <v>401</v>
      </c>
      <c r="B61" s="11" t="s">
        <v>401</v>
      </c>
      <c r="C61" s="11" t="s">
        <v>54</v>
      </c>
      <c r="D61" s="11" t="s">
        <v>402</v>
      </c>
      <c r="E61" s="11" t="s">
        <v>403</v>
      </c>
      <c r="F61" s="11" t="s">
        <v>404</v>
      </c>
      <c r="G61" s="11" t="s">
        <v>58</v>
      </c>
      <c r="H61" s="11" t="s">
        <v>405</v>
      </c>
      <c r="I61" s="11" t="s">
        <v>406</v>
      </c>
      <c r="J61" s="12" t="s">
        <v>8</v>
      </c>
      <c r="K61" s="12"/>
      <c r="L61" s="12"/>
      <c r="M61" s="12"/>
      <c r="N61" s="12"/>
      <c r="O61" s="12" t="s">
        <v>60</v>
      </c>
      <c r="P61" s="12"/>
      <c r="Q61" s="12"/>
      <c r="R61" s="12"/>
      <c r="S61" s="12"/>
      <c r="T61" s="13" t="str">
        <f t="shared" si="0"/>
        <v>通過</v>
      </c>
      <c r="U61" s="13" t="str">
        <f t="shared" si="1"/>
        <v>我忙得沒時間吃飯</v>
      </c>
      <c r="V61" s="13" t="str">
        <f t="shared" si="2"/>
        <v>我/忙/吃飯/時間/沒有</v>
      </c>
      <c r="W61" s="13" t="str">
        <f t="shared" si="3"/>
        <v>是</v>
      </c>
      <c r="X61" s="13" t="str">
        <f t="shared" si="4"/>
        <v>通過</v>
      </c>
    </row>
    <row r="62" spans="1:24" ht="34" customHeight="1">
      <c r="A62" s="11" t="s">
        <v>407</v>
      </c>
      <c r="B62" s="11" t="s">
        <v>407</v>
      </c>
      <c r="C62" s="11" t="s">
        <v>54</v>
      </c>
      <c r="D62" s="11" t="s">
        <v>408</v>
      </c>
      <c r="E62" s="11" t="s">
        <v>409</v>
      </c>
      <c r="F62" s="11" t="s">
        <v>410</v>
      </c>
      <c r="G62" s="11" t="s">
        <v>58</v>
      </c>
      <c r="H62" s="11" t="s">
        <v>411</v>
      </c>
      <c r="I62" s="11" t="s">
        <v>412</v>
      </c>
      <c r="J62" s="12" t="s">
        <v>8</v>
      </c>
      <c r="K62" s="12"/>
      <c r="L62" s="12"/>
      <c r="M62" s="12"/>
      <c r="N62" s="12"/>
      <c r="O62" s="12" t="s">
        <v>60</v>
      </c>
      <c r="P62" s="12"/>
      <c r="Q62" s="12"/>
      <c r="R62" s="12"/>
      <c r="S62" s="12"/>
      <c r="T62" s="13" t="str">
        <f t="shared" si="0"/>
        <v>通過</v>
      </c>
      <c r="U62" s="13" t="str">
        <f t="shared" si="1"/>
        <v>他很熱情，可是並不囉嗦</v>
      </c>
      <c r="V62" s="13" t="str">
        <f t="shared" si="2"/>
        <v>他/熱情/很/可是/囉嗦/不會</v>
      </c>
      <c r="W62" s="13" t="str">
        <f t="shared" si="3"/>
        <v>是</v>
      </c>
      <c r="X62" s="13" t="str">
        <f t="shared" si="4"/>
        <v>通過</v>
      </c>
    </row>
    <row r="63" spans="1:24" ht="34" customHeight="1">
      <c r="A63" s="11" t="s">
        <v>413</v>
      </c>
      <c r="B63" s="11" t="s">
        <v>413</v>
      </c>
      <c r="C63" s="11" t="s">
        <v>54</v>
      </c>
      <c r="D63" s="11" t="s">
        <v>414</v>
      </c>
      <c r="E63" s="11" t="s">
        <v>415</v>
      </c>
      <c r="F63" s="11" t="s">
        <v>416</v>
      </c>
      <c r="G63" s="11" t="s">
        <v>58</v>
      </c>
      <c r="H63" s="11" t="s">
        <v>417</v>
      </c>
      <c r="I63" s="11" t="s">
        <v>418</v>
      </c>
      <c r="J63" s="12" t="s">
        <v>8</v>
      </c>
      <c r="K63" s="12"/>
      <c r="L63" s="12"/>
      <c r="M63" s="12"/>
      <c r="N63" s="12"/>
      <c r="O63" s="12" t="s">
        <v>60</v>
      </c>
      <c r="P63" s="12"/>
      <c r="Q63" s="12"/>
      <c r="R63" s="12"/>
      <c r="S63" s="12"/>
      <c r="T63" s="13" t="str">
        <f t="shared" si="0"/>
        <v>通過</v>
      </c>
      <c r="U63" s="13" t="str">
        <f t="shared" si="1"/>
        <v>我買了去日本的機票</v>
      </c>
      <c r="V63" s="13" t="str">
        <f t="shared" si="2"/>
        <v>飛機/去/日本/飛機/票/我/買/結束</v>
      </c>
      <c r="W63" s="13" t="str">
        <f t="shared" si="3"/>
        <v>是</v>
      </c>
      <c r="X63" s="13" t="str">
        <f t="shared" si="4"/>
        <v>通過</v>
      </c>
    </row>
    <row r="64" spans="1:24" ht="34" customHeight="1">
      <c r="A64" s="11" t="s">
        <v>419</v>
      </c>
      <c r="B64" s="11" t="s">
        <v>419</v>
      </c>
      <c r="C64" s="11" t="s">
        <v>54</v>
      </c>
      <c r="D64" s="11" t="s">
        <v>420</v>
      </c>
      <c r="E64" s="11" t="s">
        <v>421</v>
      </c>
      <c r="F64" s="11" t="s">
        <v>422</v>
      </c>
      <c r="G64" s="11" t="s">
        <v>58</v>
      </c>
      <c r="H64" s="11" t="s">
        <v>423</v>
      </c>
      <c r="I64" s="11" t="s">
        <v>424</v>
      </c>
      <c r="J64" s="12" t="s">
        <v>8</v>
      </c>
      <c r="K64" s="12"/>
      <c r="L64" s="12"/>
      <c r="M64" s="12"/>
      <c r="N64" s="12"/>
      <c r="O64" s="12" t="s">
        <v>60</v>
      </c>
      <c r="P64" s="12"/>
      <c r="Q64" s="12"/>
      <c r="R64" s="12"/>
      <c r="S64" s="12"/>
      <c r="T64" s="13" t="str">
        <f t="shared" si="0"/>
        <v>通過</v>
      </c>
      <c r="U64" s="13" t="str">
        <f t="shared" si="1"/>
        <v>鐘響之後，老師就叫學生回來上課</v>
      </c>
      <c r="V64" s="13" t="str">
        <f t="shared" si="2"/>
        <v>鈴/完了/老師/叫/大家過來/念書</v>
      </c>
      <c r="W64" s="13" t="str">
        <f t="shared" si="3"/>
        <v>是</v>
      </c>
      <c r="X64" s="13" t="str">
        <f t="shared" si="4"/>
        <v>通過</v>
      </c>
    </row>
    <row r="65" spans="1:24" ht="34" customHeight="1">
      <c r="A65" s="11" t="s">
        <v>425</v>
      </c>
      <c r="B65" s="11" t="s">
        <v>425</v>
      </c>
      <c r="C65" s="11" t="s">
        <v>54</v>
      </c>
      <c r="D65" s="11" t="s">
        <v>426</v>
      </c>
      <c r="E65" s="11" t="s">
        <v>427</v>
      </c>
      <c r="F65" s="11" t="s">
        <v>428</v>
      </c>
      <c r="G65" s="11" t="s">
        <v>58</v>
      </c>
      <c r="H65" s="11" t="s">
        <v>429</v>
      </c>
      <c r="I65" s="11" t="s">
        <v>430</v>
      </c>
      <c r="J65" s="12" t="s">
        <v>8</v>
      </c>
      <c r="K65" s="12"/>
      <c r="L65" s="12"/>
      <c r="M65" s="12"/>
      <c r="N65" s="12"/>
      <c r="O65" s="12" t="s">
        <v>60</v>
      </c>
      <c r="P65" s="12"/>
      <c r="Q65" s="12"/>
      <c r="R65" s="12"/>
      <c r="S65" s="12"/>
      <c r="T65" s="13" t="str">
        <f t="shared" si="0"/>
        <v>通過</v>
      </c>
      <c r="U65" s="13" t="str">
        <f t="shared" si="1"/>
        <v>我們一起照相</v>
      </c>
      <c r="V65" s="13" t="str">
        <f t="shared" si="2"/>
        <v>我倆/一起/照相</v>
      </c>
      <c r="W65" s="13" t="str">
        <f t="shared" si="3"/>
        <v>是</v>
      </c>
      <c r="X65" s="13" t="str">
        <f t="shared" si="4"/>
        <v>通過</v>
      </c>
    </row>
    <row r="66" spans="1:24" ht="34" customHeight="1">
      <c r="A66" s="11" t="s">
        <v>431</v>
      </c>
      <c r="B66" s="11" t="s">
        <v>431</v>
      </c>
      <c r="C66" s="11" t="s">
        <v>54</v>
      </c>
      <c r="D66" s="11" t="s">
        <v>432</v>
      </c>
      <c r="E66" s="11" t="s">
        <v>433</v>
      </c>
      <c r="F66" s="11" t="s">
        <v>434</v>
      </c>
      <c r="G66" s="11" t="s">
        <v>58</v>
      </c>
      <c r="H66" s="11" t="s">
        <v>435</v>
      </c>
      <c r="I66" s="11" t="s">
        <v>436</v>
      </c>
      <c r="J66" s="12" t="s">
        <v>8</v>
      </c>
      <c r="K66" s="12"/>
      <c r="L66" s="12"/>
      <c r="M66" s="12"/>
      <c r="N66" s="12"/>
      <c r="O66" s="12" t="s">
        <v>60</v>
      </c>
      <c r="P66" s="12"/>
      <c r="Q66" s="12"/>
      <c r="R66" s="12"/>
      <c r="S66" s="12"/>
      <c r="T66" s="13" t="str">
        <f t="shared" ref="T66:T129" si="5">IF(J66="","未填",IF(J66="需複審",IF(OR(P66="",P66="仍需複審"),"待複審",P66),J66))</f>
        <v>通過</v>
      </c>
      <c r="U66" s="13" t="str">
        <f t="shared" ref="U66:U129" si="6">IF(T66="通過",E66,IF(T66="需更正",IF(J66="需複審",IF(Q66="",E66,Q66),IF(L66="",E66,L66)),""))</f>
        <v>他幫我買火車票</v>
      </c>
      <c r="V66" s="13" t="str">
        <f t="shared" ref="V66:V129" si="7">IF(T66="通過",F66,IF(T66="需更正",IF(J66="需複審",R66,M66),""))</f>
        <v>火車/票/他/幫我/買</v>
      </c>
      <c r="W66" s="13" t="str">
        <f t="shared" ref="W66:W129" si="8">IF(AND(OR(T66="通過",AND(T66="需更正",V66&lt;&gt;"")),X66="通過"),"是","否")</f>
        <v>是</v>
      </c>
      <c r="X66" s="13" t="str">
        <f t="shared" ref="X66:X129" si="9">IF(J66="","未填",IF(AND(J66="需複審",OR(P66="",P66="仍需複審")),"待複審",IF(OR(AND(J66="需更正",K66=""),AND(J66="需更正",M66=""),AND(J66="需更正",N66=""),AND(J66="排除",OR(K66="",N66="")),AND(J66="需複審",P66="需更正",R66=""),AND(J66="需複審",P66="需更正",S66=""),AND(J66="需複審",P66="排除",S66="")),"錯誤：請補齊必填欄位","通過")))</f>
        <v>通過</v>
      </c>
    </row>
    <row r="67" spans="1:24" ht="34" customHeight="1">
      <c r="A67" s="11" t="s">
        <v>437</v>
      </c>
      <c r="B67" s="11" t="s">
        <v>437</v>
      </c>
      <c r="C67" s="11" t="s">
        <v>54</v>
      </c>
      <c r="D67" s="11" t="s">
        <v>438</v>
      </c>
      <c r="E67" s="11" t="s">
        <v>439</v>
      </c>
      <c r="F67" s="11" t="s">
        <v>440</v>
      </c>
      <c r="G67" s="11" t="s">
        <v>58</v>
      </c>
      <c r="H67" s="11" t="s">
        <v>441</v>
      </c>
      <c r="I67" s="11" t="s">
        <v>442</v>
      </c>
      <c r="J67" s="12" t="s">
        <v>8</v>
      </c>
      <c r="K67" s="12"/>
      <c r="L67" s="12"/>
      <c r="M67" s="12"/>
      <c r="N67" s="12"/>
      <c r="O67" s="12" t="s">
        <v>60</v>
      </c>
      <c r="P67" s="12"/>
      <c r="Q67" s="12"/>
      <c r="R67" s="12"/>
      <c r="S67" s="12"/>
      <c r="T67" s="13" t="str">
        <f t="shared" si="5"/>
        <v>通過</v>
      </c>
      <c r="U67" s="13" t="str">
        <f t="shared" si="6"/>
        <v>過馬路要注意安全</v>
      </c>
      <c r="V67" s="13" t="str">
        <f t="shared" si="7"/>
        <v>路/邊/走/安全/注意</v>
      </c>
      <c r="W67" s="13" t="str">
        <f t="shared" si="8"/>
        <v>是</v>
      </c>
      <c r="X67" s="13" t="str">
        <f t="shared" si="9"/>
        <v>通過</v>
      </c>
    </row>
    <row r="68" spans="1:24" ht="34" customHeight="1">
      <c r="A68" s="11" t="s">
        <v>443</v>
      </c>
      <c r="B68" s="11" t="s">
        <v>443</v>
      </c>
      <c r="C68" s="11" t="s">
        <v>54</v>
      </c>
      <c r="D68" s="11" t="s">
        <v>444</v>
      </c>
      <c r="E68" s="11" t="s">
        <v>445</v>
      </c>
      <c r="F68" s="11" t="s">
        <v>446</v>
      </c>
      <c r="G68" s="11" t="s">
        <v>58</v>
      </c>
      <c r="H68" s="11" t="s">
        <v>447</v>
      </c>
      <c r="I68" s="11" t="s">
        <v>448</v>
      </c>
      <c r="J68" s="12" t="s">
        <v>8</v>
      </c>
      <c r="K68" s="12"/>
      <c r="L68" s="12"/>
      <c r="M68" s="12"/>
      <c r="N68" s="12"/>
      <c r="O68" s="12" t="s">
        <v>60</v>
      </c>
      <c r="P68" s="12"/>
      <c r="Q68" s="12"/>
      <c r="R68" s="12"/>
      <c r="S68" s="12"/>
      <c r="T68" s="13" t="str">
        <f t="shared" si="5"/>
        <v>通過</v>
      </c>
      <c r="U68" s="13" t="str">
        <f t="shared" si="6"/>
        <v>老師帶學生參加科學展覽</v>
      </c>
      <c r="V68" s="13" t="str">
        <f t="shared" si="7"/>
        <v>科學展/學生/老師/帶/進入</v>
      </c>
      <c r="W68" s="13" t="str">
        <f t="shared" si="8"/>
        <v>是</v>
      </c>
      <c r="X68" s="13" t="str">
        <f t="shared" si="9"/>
        <v>通過</v>
      </c>
    </row>
    <row r="69" spans="1:24" ht="34" customHeight="1">
      <c r="A69" s="11" t="s">
        <v>449</v>
      </c>
      <c r="B69" s="11" t="s">
        <v>449</v>
      </c>
      <c r="C69" s="11" t="s">
        <v>54</v>
      </c>
      <c r="D69" s="11" t="s">
        <v>450</v>
      </c>
      <c r="E69" s="11" t="s">
        <v>451</v>
      </c>
      <c r="F69" s="11" t="s">
        <v>452</v>
      </c>
      <c r="G69" s="11" t="s">
        <v>58</v>
      </c>
      <c r="H69" s="11" t="s">
        <v>453</v>
      </c>
      <c r="I69" s="11" t="s">
        <v>454</v>
      </c>
      <c r="J69" s="12" t="s">
        <v>8</v>
      </c>
      <c r="K69" s="12"/>
      <c r="L69" s="12"/>
      <c r="M69" s="12"/>
      <c r="N69" s="12"/>
      <c r="O69" s="12" t="s">
        <v>60</v>
      </c>
      <c r="P69" s="12"/>
      <c r="Q69" s="12"/>
      <c r="R69" s="12"/>
      <c r="S69" s="12"/>
      <c r="T69" s="13" t="str">
        <f t="shared" si="5"/>
        <v>通過</v>
      </c>
      <c r="U69" s="13" t="str">
        <f t="shared" si="6"/>
        <v>貓很可愛</v>
      </c>
      <c r="V69" s="13" t="str">
        <f t="shared" si="7"/>
        <v>那/貓/可愛</v>
      </c>
      <c r="W69" s="13" t="str">
        <f t="shared" si="8"/>
        <v>是</v>
      </c>
      <c r="X69" s="13" t="str">
        <f t="shared" si="9"/>
        <v>通過</v>
      </c>
    </row>
    <row r="70" spans="1:24" ht="34" customHeight="1">
      <c r="A70" s="11" t="s">
        <v>455</v>
      </c>
      <c r="B70" s="11" t="s">
        <v>455</v>
      </c>
      <c r="C70" s="11" t="s">
        <v>54</v>
      </c>
      <c r="D70" s="11" t="s">
        <v>456</v>
      </c>
      <c r="E70" s="11" t="s">
        <v>457</v>
      </c>
      <c r="F70" s="11" t="s">
        <v>458</v>
      </c>
      <c r="G70" s="11" t="s">
        <v>58</v>
      </c>
      <c r="H70" s="11" t="s">
        <v>459</v>
      </c>
      <c r="I70" s="11" t="s">
        <v>460</v>
      </c>
      <c r="J70" s="12" t="s">
        <v>8</v>
      </c>
      <c r="K70" s="12"/>
      <c r="L70" s="12"/>
      <c r="M70" s="12"/>
      <c r="N70" s="12"/>
      <c r="O70" s="12" t="s">
        <v>60</v>
      </c>
      <c r="P70" s="12"/>
      <c r="Q70" s="12"/>
      <c r="R70" s="12"/>
      <c r="S70" s="12"/>
      <c r="T70" s="13" t="str">
        <f t="shared" si="5"/>
        <v>通過</v>
      </c>
      <c r="U70" s="13" t="str">
        <f t="shared" si="6"/>
        <v>昨天他們一起抓住了小偷</v>
      </c>
      <c r="V70" s="13" t="str">
        <f t="shared" si="7"/>
        <v>小(偷)/這/他/昨天/他們/一起/抓</v>
      </c>
      <c r="W70" s="13" t="str">
        <f t="shared" si="8"/>
        <v>是</v>
      </c>
      <c r="X70" s="13" t="str">
        <f t="shared" si="9"/>
        <v>通過</v>
      </c>
    </row>
    <row r="71" spans="1:24" ht="34" customHeight="1">
      <c r="A71" s="11" t="s">
        <v>461</v>
      </c>
      <c r="B71" s="11" t="s">
        <v>461</v>
      </c>
      <c r="C71" s="11" t="s">
        <v>54</v>
      </c>
      <c r="D71" s="11" t="s">
        <v>462</v>
      </c>
      <c r="E71" s="11" t="s">
        <v>463</v>
      </c>
      <c r="F71" s="11" t="s">
        <v>464</v>
      </c>
      <c r="G71" s="11" t="s">
        <v>58</v>
      </c>
      <c r="H71" s="11" t="s">
        <v>465</v>
      </c>
      <c r="I71" s="11" t="s">
        <v>466</v>
      </c>
      <c r="J71" s="12" t="s">
        <v>8</v>
      </c>
      <c r="K71" s="12"/>
      <c r="L71" s="12"/>
      <c r="M71" s="12"/>
      <c r="N71" s="12"/>
      <c r="O71" s="12" t="s">
        <v>60</v>
      </c>
      <c r="P71" s="12"/>
      <c r="Q71" s="12"/>
      <c r="R71" s="12"/>
      <c r="S71" s="12"/>
      <c r="T71" s="13" t="str">
        <f t="shared" si="5"/>
        <v>通過</v>
      </c>
      <c r="U71" s="13" t="str">
        <f t="shared" si="6"/>
        <v>醫生要我配合，感冒才會好得快</v>
      </c>
      <c r="V71" s="13" t="str">
        <f t="shared" si="7"/>
        <v>醫生/要/我/相配/要/感冒/病/恢復/快/能</v>
      </c>
      <c r="W71" s="13" t="str">
        <f t="shared" si="8"/>
        <v>是</v>
      </c>
      <c r="X71" s="13" t="str">
        <f t="shared" si="9"/>
        <v>通過</v>
      </c>
    </row>
    <row r="72" spans="1:24" ht="34" customHeight="1">
      <c r="A72" s="11" t="s">
        <v>467</v>
      </c>
      <c r="B72" s="11" t="s">
        <v>467</v>
      </c>
      <c r="C72" s="11" t="s">
        <v>54</v>
      </c>
      <c r="D72" s="11" t="s">
        <v>468</v>
      </c>
      <c r="E72" s="11" t="s">
        <v>469</v>
      </c>
      <c r="F72" s="11" t="s">
        <v>470</v>
      </c>
      <c r="G72" s="11" t="s">
        <v>58</v>
      </c>
      <c r="H72" s="11" t="s">
        <v>471</v>
      </c>
      <c r="I72" s="11" t="s">
        <v>472</v>
      </c>
      <c r="J72" s="12" t="s">
        <v>8</v>
      </c>
      <c r="K72" s="12"/>
      <c r="L72" s="12"/>
      <c r="M72" s="12"/>
      <c r="N72" s="12"/>
      <c r="O72" s="12" t="s">
        <v>60</v>
      </c>
      <c r="P72" s="12"/>
      <c r="Q72" s="12"/>
      <c r="R72" s="12"/>
      <c r="S72" s="12"/>
      <c r="T72" s="13" t="str">
        <f t="shared" si="5"/>
        <v>通過</v>
      </c>
      <c r="U72" s="13" t="str">
        <f t="shared" si="6"/>
        <v>媽媽把這塊肉切成碎塊</v>
      </c>
      <c r="V72" s="13" t="str">
        <f t="shared" si="7"/>
        <v>肉/塊/媽媽/剁/碎塊/剁/碎塊</v>
      </c>
      <c r="W72" s="13" t="str">
        <f t="shared" si="8"/>
        <v>是</v>
      </c>
      <c r="X72" s="13" t="str">
        <f t="shared" si="9"/>
        <v>通過</v>
      </c>
    </row>
    <row r="73" spans="1:24" ht="34" customHeight="1">
      <c r="A73" s="11" t="s">
        <v>473</v>
      </c>
      <c r="B73" s="11" t="s">
        <v>473</v>
      </c>
      <c r="C73" s="11" t="s">
        <v>54</v>
      </c>
      <c r="D73" s="11" t="s">
        <v>474</v>
      </c>
      <c r="E73" s="11" t="s">
        <v>475</v>
      </c>
      <c r="F73" s="11" t="s">
        <v>476</v>
      </c>
      <c r="G73" s="11" t="s">
        <v>58</v>
      </c>
      <c r="H73" s="11" t="s">
        <v>477</v>
      </c>
      <c r="I73" s="11" t="s">
        <v>478</v>
      </c>
      <c r="J73" s="12" t="s">
        <v>8</v>
      </c>
      <c r="K73" s="12"/>
      <c r="L73" s="12"/>
      <c r="M73" s="12"/>
      <c r="N73" s="12"/>
      <c r="O73" s="12" t="s">
        <v>60</v>
      </c>
      <c r="P73" s="12"/>
      <c r="Q73" s="12"/>
      <c r="R73" s="12"/>
      <c r="S73" s="12"/>
      <c r="T73" s="13" t="str">
        <f t="shared" si="5"/>
        <v>通過</v>
      </c>
      <c r="U73" s="13" t="str">
        <f t="shared" si="6"/>
        <v>明天我們要慶祝你的生日</v>
      </c>
      <c r="V73" s="13" t="str">
        <f t="shared" si="7"/>
        <v>你/生日/明天/我們/幫忙/祝/慶祝</v>
      </c>
      <c r="W73" s="13" t="str">
        <f t="shared" si="8"/>
        <v>是</v>
      </c>
      <c r="X73" s="13" t="str">
        <f t="shared" si="9"/>
        <v>通過</v>
      </c>
    </row>
    <row r="74" spans="1:24" ht="34" customHeight="1">
      <c r="A74" s="11" t="s">
        <v>479</v>
      </c>
      <c r="B74" s="11" t="s">
        <v>479</v>
      </c>
      <c r="C74" s="11" t="s">
        <v>54</v>
      </c>
      <c r="D74" s="11" t="s">
        <v>480</v>
      </c>
      <c r="E74" s="11" t="s">
        <v>481</v>
      </c>
      <c r="F74" s="11" t="s">
        <v>482</v>
      </c>
      <c r="G74" s="11" t="s">
        <v>58</v>
      </c>
      <c r="H74" s="11" t="s">
        <v>483</v>
      </c>
      <c r="I74" s="11" t="s">
        <v>484</v>
      </c>
      <c r="J74" s="12" t="s">
        <v>8</v>
      </c>
      <c r="K74" s="12"/>
      <c r="L74" s="12"/>
      <c r="M74" s="12"/>
      <c r="N74" s="12"/>
      <c r="O74" s="12" t="s">
        <v>60</v>
      </c>
      <c r="P74" s="12"/>
      <c r="Q74" s="12"/>
      <c r="R74" s="12"/>
      <c r="S74" s="12"/>
      <c r="T74" s="13" t="str">
        <f t="shared" si="5"/>
        <v>通過</v>
      </c>
      <c r="U74" s="13" t="str">
        <f t="shared" si="6"/>
        <v>這張椅子少了一隻腳</v>
      </c>
      <c r="V74" s="13" t="str">
        <f t="shared" si="7"/>
        <v>這/椅子/四隻腳/腳/少一</v>
      </c>
      <c r="W74" s="13" t="str">
        <f t="shared" si="8"/>
        <v>是</v>
      </c>
      <c r="X74" s="13" t="str">
        <f t="shared" si="9"/>
        <v>通過</v>
      </c>
    </row>
    <row r="75" spans="1:24" ht="34" customHeight="1">
      <c r="A75" s="11" t="s">
        <v>485</v>
      </c>
      <c r="B75" s="11" t="s">
        <v>485</v>
      </c>
      <c r="C75" s="11" t="s">
        <v>54</v>
      </c>
      <c r="D75" s="11" t="s">
        <v>486</v>
      </c>
      <c r="E75" s="11" t="s">
        <v>487</v>
      </c>
      <c r="F75" s="11" t="s">
        <v>488</v>
      </c>
      <c r="G75" s="11" t="s">
        <v>58</v>
      </c>
      <c r="H75" s="11" t="s">
        <v>489</v>
      </c>
      <c r="I75" s="11" t="s">
        <v>490</v>
      </c>
      <c r="J75" s="12" t="s">
        <v>8</v>
      </c>
      <c r="K75" s="12"/>
      <c r="L75" s="12"/>
      <c r="M75" s="12"/>
      <c r="N75" s="12"/>
      <c r="O75" s="12" t="s">
        <v>60</v>
      </c>
      <c r="P75" s="12"/>
      <c r="Q75" s="12"/>
      <c r="R75" s="12"/>
      <c r="S75" s="12"/>
      <c r="T75" s="13" t="str">
        <f t="shared" si="5"/>
        <v>通過</v>
      </c>
      <c r="U75" s="13" t="str">
        <f t="shared" si="6"/>
        <v>毛毛蟲變成蝴蝶了</v>
      </c>
      <c r="V75" s="13" t="str">
        <f t="shared" si="7"/>
        <v>毛毛蟲/變/蝴蝶</v>
      </c>
      <c r="W75" s="13" t="str">
        <f t="shared" si="8"/>
        <v>是</v>
      </c>
      <c r="X75" s="13" t="str">
        <f t="shared" si="9"/>
        <v>通過</v>
      </c>
    </row>
    <row r="76" spans="1:24" ht="34" customHeight="1">
      <c r="A76" s="11" t="s">
        <v>491</v>
      </c>
      <c r="B76" s="11" t="s">
        <v>491</v>
      </c>
      <c r="C76" s="11" t="s">
        <v>54</v>
      </c>
      <c r="D76" s="11" t="s">
        <v>486</v>
      </c>
      <c r="E76" s="11" t="s">
        <v>492</v>
      </c>
      <c r="F76" s="11" t="s">
        <v>493</v>
      </c>
      <c r="G76" s="11" t="s">
        <v>58</v>
      </c>
      <c r="H76" s="11" t="s">
        <v>494</v>
      </c>
      <c r="I76" s="11" t="s">
        <v>495</v>
      </c>
      <c r="J76" s="12" t="s">
        <v>8</v>
      </c>
      <c r="K76" s="12"/>
      <c r="L76" s="12"/>
      <c r="M76" s="12"/>
      <c r="N76" s="12"/>
      <c r="O76" s="12" t="s">
        <v>60</v>
      </c>
      <c r="P76" s="12"/>
      <c r="Q76" s="12"/>
      <c r="R76" s="12"/>
      <c r="S76" s="12"/>
      <c r="T76" s="13" t="str">
        <f t="shared" si="5"/>
        <v>通過</v>
      </c>
      <c r="U76" s="13" t="str">
        <f t="shared" si="6"/>
        <v>請修改這份文件</v>
      </c>
      <c r="V76" s="13" t="str">
        <f t="shared" si="7"/>
        <v>請/張/請/改/這/改</v>
      </c>
      <c r="W76" s="13" t="str">
        <f t="shared" si="8"/>
        <v>是</v>
      </c>
      <c r="X76" s="13" t="str">
        <f t="shared" si="9"/>
        <v>通過</v>
      </c>
    </row>
    <row r="77" spans="1:24" ht="34" customHeight="1">
      <c r="A77" s="11" t="s">
        <v>496</v>
      </c>
      <c r="B77" s="11" t="s">
        <v>496</v>
      </c>
      <c r="C77" s="11" t="s">
        <v>54</v>
      </c>
      <c r="D77" s="11" t="s">
        <v>497</v>
      </c>
      <c r="E77" s="11" t="s">
        <v>498</v>
      </c>
      <c r="F77" s="11" t="s">
        <v>499</v>
      </c>
      <c r="G77" s="11" t="s">
        <v>58</v>
      </c>
      <c r="H77" s="11" t="s">
        <v>500</v>
      </c>
      <c r="I77" s="11" t="s">
        <v>501</v>
      </c>
      <c r="J77" s="12" t="s">
        <v>8</v>
      </c>
      <c r="K77" s="12"/>
      <c r="L77" s="12"/>
      <c r="M77" s="12"/>
      <c r="N77" s="12"/>
      <c r="O77" s="12" t="s">
        <v>60</v>
      </c>
      <c r="P77" s="12"/>
      <c r="Q77" s="12"/>
      <c r="R77" s="12"/>
      <c r="S77" s="12"/>
      <c r="T77" s="13" t="str">
        <f t="shared" si="5"/>
        <v>通過</v>
      </c>
      <c r="U77" s="13" t="str">
        <f t="shared" si="6"/>
        <v>我希望能與你交換位置</v>
      </c>
      <c r="V77" s="13" t="str">
        <f t="shared" si="7"/>
        <v>我/希望/什麼/你/我/位置交換</v>
      </c>
      <c r="W77" s="13" t="str">
        <f t="shared" si="8"/>
        <v>是</v>
      </c>
      <c r="X77" s="13" t="str">
        <f t="shared" si="9"/>
        <v>通過</v>
      </c>
    </row>
    <row r="78" spans="1:24" ht="34" customHeight="1">
      <c r="A78" s="11" t="s">
        <v>502</v>
      </c>
      <c r="B78" s="11" t="s">
        <v>502</v>
      </c>
      <c r="C78" s="11" t="s">
        <v>54</v>
      </c>
      <c r="D78" s="11" t="s">
        <v>503</v>
      </c>
      <c r="E78" s="11" t="s">
        <v>504</v>
      </c>
      <c r="F78" s="11" t="s">
        <v>505</v>
      </c>
      <c r="G78" s="11" t="s">
        <v>58</v>
      </c>
      <c r="H78" s="11" t="s">
        <v>506</v>
      </c>
      <c r="I78" s="11" t="s">
        <v>507</v>
      </c>
      <c r="J78" s="12" t="s">
        <v>8</v>
      </c>
      <c r="K78" s="12"/>
      <c r="L78" s="12"/>
      <c r="M78" s="12"/>
      <c r="N78" s="12"/>
      <c r="O78" s="12" t="s">
        <v>60</v>
      </c>
      <c r="P78" s="12"/>
      <c r="Q78" s="12"/>
      <c r="R78" s="12"/>
      <c r="S78" s="12"/>
      <c r="T78" s="13" t="str">
        <f t="shared" si="5"/>
        <v>通過</v>
      </c>
      <c r="U78" s="13" t="str">
        <f t="shared" si="6"/>
        <v>這份文件需要再增加表格及圖示說明</v>
      </c>
      <c r="V78" s="13" t="str">
        <f t="shared" si="7"/>
        <v>這/張/這/要/加/什麼/表格/再/第二個/畫/內容/解釋</v>
      </c>
      <c r="W78" s="13" t="str">
        <f t="shared" si="8"/>
        <v>是</v>
      </c>
      <c r="X78" s="13" t="str">
        <f t="shared" si="9"/>
        <v>通過</v>
      </c>
    </row>
    <row r="79" spans="1:24" ht="34" customHeight="1">
      <c r="A79" s="11" t="s">
        <v>508</v>
      </c>
      <c r="B79" s="11" t="s">
        <v>508</v>
      </c>
      <c r="C79" s="11" t="s">
        <v>54</v>
      </c>
      <c r="D79" s="11" t="s">
        <v>509</v>
      </c>
      <c r="E79" s="11" t="s">
        <v>510</v>
      </c>
      <c r="F79" s="11" t="s">
        <v>511</v>
      </c>
      <c r="G79" s="11" t="s">
        <v>58</v>
      </c>
      <c r="H79" s="11" t="s">
        <v>512</v>
      </c>
      <c r="I79" s="11" t="s">
        <v>513</v>
      </c>
      <c r="J79" s="12" t="s">
        <v>8</v>
      </c>
      <c r="K79" s="12"/>
      <c r="L79" s="12"/>
      <c r="M79" s="12"/>
      <c r="N79" s="12"/>
      <c r="O79" s="12" t="s">
        <v>60</v>
      </c>
      <c r="P79" s="12"/>
      <c r="Q79" s="12"/>
      <c r="R79" s="12"/>
      <c r="S79" s="12"/>
      <c r="T79" s="13" t="str">
        <f t="shared" si="5"/>
        <v>通過</v>
      </c>
      <c r="U79" s="13" t="str">
        <f t="shared" si="6"/>
        <v>哥哥追著弟弟跑</v>
      </c>
      <c r="V79" s="13" t="str">
        <f t="shared" si="7"/>
        <v>弟弟/哥哥/追/跑/追</v>
      </c>
      <c r="W79" s="13" t="str">
        <f t="shared" si="8"/>
        <v>是</v>
      </c>
      <c r="X79" s="13" t="str">
        <f t="shared" si="9"/>
        <v>通過</v>
      </c>
    </row>
    <row r="80" spans="1:24" ht="34" customHeight="1">
      <c r="A80" s="11" t="s">
        <v>514</v>
      </c>
      <c r="B80" s="11" t="s">
        <v>514</v>
      </c>
      <c r="C80" s="11" t="s">
        <v>54</v>
      </c>
      <c r="D80" s="11" t="s">
        <v>515</v>
      </c>
      <c r="E80" s="11" t="s">
        <v>516</v>
      </c>
      <c r="F80" s="11" t="s">
        <v>517</v>
      </c>
      <c r="G80" s="11" t="s">
        <v>58</v>
      </c>
      <c r="H80" s="11" t="s">
        <v>518</v>
      </c>
      <c r="I80" s="11" t="s">
        <v>519</v>
      </c>
      <c r="J80" s="12" t="s">
        <v>8</v>
      </c>
      <c r="K80" s="12"/>
      <c r="L80" s="12"/>
      <c r="M80" s="12"/>
      <c r="N80" s="12"/>
      <c r="O80" s="12" t="s">
        <v>60</v>
      </c>
      <c r="P80" s="12"/>
      <c r="Q80" s="12"/>
      <c r="R80" s="12"/>
      <c r="S80" s="12"/>
      <c r="T80" s="13" t="str">
        <f t="shared" si="5"/>
        <v>通過</v>
      </c>
      <c r="U80" s="13" t="str">
        <f t="shared" si="6"/>
        <v>聊天是舒壓的好方法</v>
      </c>
      <c r="V80" s="13" t="str">
        <f t="shared" si="7"/>
        <v>舒服/身體/方法/什麼/聊天/棒</v>
      </c>
      <c r="W80" s="13" t="str">
        <f t="shared" si="8"/>
        <v>是</v>
      </c>
      <c r="X80" s="13" t="str">
        <f t="shared" si="9"/>
        <v>通過</v>
      </c>
    </row>
    <row r="81" spans="1:24" ht="34" customHeight="1">
      <c r="A81" s="11" t="s">
        <v>520</v>
      </c>
      <c r="B81" s="11" t="s">
        <v>520</v>
      </c>
      <c r="C81" s="11" t="s">
        <v>54</v>
      </c>
      <c r="D81" s="11" t="s">
        <v>515</v>
      </c>
      <c r="E81" s="11" t="s">
        <v>521</v>
      </c>
      <c r="F81" s="11" t="s">
        <v>522</v>
      </c>
      <c r="G81" s="11" t="s">
        <v>58</v>
      </c>
      <c r="H81" s="11" t="s">
        <v>523</v>
      </c>
      <c r="I81" s="11" t="s">
        <v>524</v>
      </c>
      <c r="J81" s="12" t="s">
        <v>8</v>
      </c>
      <c r="K81" s="12"/>
      <c r="L81" s="12"/>
      <c r="M81" s="12"/>
      <c r="N81" s="12"/>
      <c r="O81" s="12" t="s">
        <v>60</v>
      </c>
      <c r="P81" s="12"/>
      <c r="Q81" s="12"/>
      <c r="R81" s="12"/>
      <c r="S81" s="12"/>
      <c r="T81" s="13" t="str">
        <f t="shared" si="5"/>
        <v>通過</v>
      </c>
      <c r="U81" s="13" t="str">
        <f t="shared" si="6"/>
        <v>吃飯的時候專心吃飯，請勿聊天</v>
      </c>
      <c r="V81" s="13" t="str">
        <f t="shared" si="7"/>
        <v>你/吃飯/聊天/不/吃飯/正(認真)/吃飯</v>
      </c>
      <c r="W81" s="13" t="str">
        <f t="shared" si="8"/>
        <v>是</v>
      </c>
      <c r="X81" s="13" t="str">
        <f t="shared" si="9"/>
        <v>通過</v>
      </c>
    </row>
    <row r="82" spans="1:24" ht="34" customHeight="1">
      <c r="A82" s="11" t="s">
        <v>525</v>
      </c>
      <c r="B82" s="11" t="s">
        <v>525</v>
      </c>
      <c r="C82" s="11" t="s">
        <v>54</v>
      </c>
      <c r="D82" s="11" t="s">
        <v>526</v>
      </c>
      <c r="E82" s="11" t="s">
        <v>527</v>
      </c>
      <c r="F82" s="11" t="s">
        <v>528</v>
      </c>
      <c r="G82" s="11" t="s">
        <v>58</v>
      </c>
      <c r="H82" s="11" t="s">
        <v>529</v>
      </c>
      <c r="I82" s="11" t="s">
        <v>530</v>
      </c>
      <c r="J82" s="12" t="s">
        <v>8</v>
      </c>
      <c r="K82" s="12"/>
      <c r="L82" s="12"/>
      <c r="M82" s="12"/>
      <c r="N82" s="12"/>
      <c r="O82" s="12" t="s">
        <v>60</v>
      </c>
      <c r="P82" s="12"/>
      <c r="Q82" s="12"/>
      <c r="R82" s="12"/>
      <c r="S82" s="12"/>
      <c r="T82" s="13" t="str">
        <f t="shared" si="5"/>
        <v>通過</v>
      </c>
      <c r="U82" s="13" t="str">
        <f t="shared" si="6"/>
        <v>這輛車很便宜</v>
      </c>
      <c r="V82" s="13" t="str">
        <f t="shared" si="7"/>
        <v>這/車/便宜</v>
      </c>
      <c r="W82" s="13" t="str">
        <f t="shared" si="8"/>
        <v>是</v>
      </c>
      <c r="X82" s="13" t="str">
        <f t="shared" si="9"/>
        <v>通過</v>
      </c>
    </row>
    <row r="83" spans="1:24" ht="34" customHeight="1">
      <c r="A83" s="11" t="s">
        <v>531</v>
      </c>
      <c r="B83" s="11" t="s">
        <v>531</v>
      </c>
      <c r="C83" s="11" t="s">
        <v>54</v>
      </c>
      <c r="D83" s="11" t="s">
        <v>532</v>
      </c>
      <c r="E83" s="11" t="s">
        <v>533</v>
      </c>
      <c r="F83" s="11" t="s">
        <v>534</v>
      </c>
      <c r="G83" s="11" t="s">
        <v>58</v>
      </c>
      <c r="H83" s="11" t="s">
        <v>535</v>
      </c>
      <c r="I83" s="11" t="s">
        <v>536</v>
      </c>
      <c r="J83" s="12" t="s">
        <v>8</v>
      </c>
      <c r="K83" s="12"/>
      <c r="L83" s="12"/>
      <c r="M83" s="12"/>
      <c r="N83" s="12"/>
      <c r="O83" s="12" t="s">
        <v>60</v>
      </c>
      <c r="P83" s="12"/>
      <c r="Q83" s="12"/>
      <c r="R83" s="12"/>
      <c r="S83" s="12"/>
      <c r="T83" s="13" t="str">
        <f t="shared" si="5"/>
        <v>通過</v>
      </c>
      <c r="U83" s="13" t="str">
        <f t="shared" si="6"/>
        <v>考試不可作弊</v>
      </c>
      <c r="V83" s="13" t="str">
        <f t="shared" si="7"/>
        <v>考試/作弊/不能</v>
      </c>
      <c r="W83" s="13" t="str">
        <f t="shared" si="8"/>
        <v>是</v>
      </c>
      <c r="X83" s="13" t="str">
        <f t="shared" si="9"/>
        <v>通過</v>
      </c>
    </row>
    <row r="84" spans="1:24" ht="34" customHeight="1">
      <c r="A84" s="11" t="s">
        <v>537</v>
      </c>
      <c r="B84" s="11" t="s">
        <v>537</v>
      </c>
      <c r="C84" s="11" t="s">
        <v>54</v>
      </c>
      <c r="D84" s="11" t="s">
        <v>538</v>
      </c>
      <c r="E84" s="11" t="s">
        <v>539</v>
      </c>
      <c r="F84" s="11" t="s">
        <v>540</v>
      </c>
      <c r="G84" s="11" t="s">
        <v>58</v>
      </c>
      <c r="H84" s="11" t="s">
        <v>541</v>
      </c>
      <c r="I84" s="11" t="s">
        <v>542</v>
      </c>
      <c r="J84" s="12" t="s">
        <v>8</v>
      </c>
      <c r="K84" s="12"/>
      <c r="L84" s="12"/>
      <c r="M84" s="12"/>
      <c r="N84" s="12"/>
      <c r="O84" s="12" t="s">
        <v>60</v>
      </c>
      <c r="P84" s="12"/>
      <c r="Q84" s="12"/>
      <c r="R84" s="12"/>
      <c r="S84" s="12"/>
      <c r="T84" s="13" t="str">
        <f t="shared" si="5"/>
        <v>通過</v>
      </c>
      <c r="U84" s="13" t="str">
        <f t="shared" si="6"/>
        <v>爸爸是英語系主任</v>
      </c>
      <c r="V84" s="13" t="str">
        <f t="shared" si="7"/>
        <v>爸爸/他/英文系/主任/是</v>
      </c>
      <c r="W84" s="13" t="str">
        <f t="shared" si="8"/>
        <v>是</v>
      </c>
      <c r="X84" s="13" t="str">
        <f t="shared" si="9"/>
        <v>通過</v>
      </c>
    </row>
    <row r="85" spans="1:24" ht="34" customHeight="1">
      <c r="A85" s="11" t="s">
        <v>543</v>
      </c>
      <c r="B85" s="11" t="s">
        <v>543</v>
      </c>
      <c r="C85" s="11" t="s">
        <v>54</v>
      </c>
      <c r="D85" s="11" t="s">
        <v>544</v>
      </c>
      <c r="E85" s="11" t="s">
        <v>545</v>
      </c>
      <c r="F85" s="11" t="s">
        <v>546</v>
      </c>
      <c r="G85" s="11" t="s">
        <v>58</v>
      </c>
      <c r="H85" s="11" t="s">
        <v>547</v>
      </c>
      <c r="I85" s="11" t="s">
        <v>548</v>
      </c>
      <c r="J85" s="12" t="s">
        <v>8</v>
      </c>
      <c r="K85" s="12"/>
      <c r="L85" s="12"/>
      <c r="M85" s="12"/>
      <c r="N85" s="12"/>
      <c r="O85" s="12" t="s">
        <v>60</v>
      </c>
      <c r="P85" s="12"/>
      <c r="Q85" s="12"/>
      <c r="R85" s="12"/>
      <c r="S85" s="12"/>
      <c r="T85" s="13" t="str">
        <f t="shared" si="5"/>
        <v>通過</v>
      </c>
      <c r="U85" s="13" t="str">
        <f t="shared" si="6"/>
        <v>他的小孩長大了</v>
      </c>
      <c r="V85" s="13" t="str">
        <f t="shared" si="7"/>
        <v>他/小孩/長大</v>
      </c>
      <c r="W85" s="13" t="str">
        <f t="shared" si="8"/>
        <v>是</v>
      </c>
      <c r="X85" s="13" t="str">
        <f t="shared" si="9"/>
        <v>通過</v>
      </c>
    </row>
    <row r="86" spans="1:24" ht="34" customHeight="1">
      <c r="A86" s="11" t="s">
        <v>549</v>
      </c>
      <c r="B86" s="11" t="s">
        <v>549</v>
      </c>
      <c r="C86" s="11" t="s">
        <v>54</v>
      </c>
      <c r="D86" s="11" t="s">
        <v>544</v>
      </c>
      <c r="E86" s="11" t="s">
        <v>550</v>
      </c>
      <c r="F86" s="11" t="s">
        <v>551</v>
      </c>
      <c r="G86" s="11" t="s">
        <v>58</v>
      </c>
      <c r="H86" s="11" t="s">
        <v>552</v>
      </c>
      <c r="I86" s="11" t="s">
        <v>553</v>
      </c>
      <c r="J86" s="12" t="s">
        <v>8</v>
      </c>
      <c r="K86" s="12"/>
      <c r="L86" s="12"/>
      <c r="M86" s="12"/>
      <c r="N86" s="12"/>
      <c r="O86" s="12" t="s">
        <v>60</v>
      </c>
      <c r="P86" s="12"/>
      <c r="Q86" s="12"/>
      <c r="R86" s="12"/>
      <c r="S86" s="12"/>
      <c r="T86" s="13" t="str">
        <f t="shared" si="5"/>
        <v>通過</v>
      </c>
      <c r="U86" s="13" t="str">
        <f t="shared" si="6"/>
        <v>有好多小孩在跑來跑去</v>
      </c>
      <c r="V86" s="13" t="str">
        <f t="shared" si="7"/>
        <v>小孩/他們/跑來跑去</v>
      </c>
      <c r="W86" s="13" t="str">
        <f t="shared" si="8"/>
        <v>是</v>
      </c>
      <c r="X86" s="13" t="str">
        <f t="shared" si="9"/>
        <v>通過</v>
      </c>
    </row>
    <row r="87" spans="1:24" ht="34" customHeight="1">
      <c r="A87" s="11" t="s">
        <v>554</v>
      </c>
      <c r="B87" s="11" t="s">
        <v>554</v>
      </c>
      <c r="C87" s="11" t="s">
        <v>54</v>
      </c>
      <c r="D87" s="11" t="s">
        <v>555</v>
      </c>
      <c r="E87" s="11" t="s">
        <v>556</v>
      </c>
      <c r="F87" s="11" t="s">
        <v>557</v>
      </c>
      <c r="G87" s="11" t="s">
        <v>58</v>
      </c>
      <c r="H87" s="11" t="s">
        <v>558</v>
      </c>
      <c r="I87" s="11" t="s">
        <v>559</v>
      </c>
      <c r="J87" s="12" t="s">
        <v>10</v>
      </c>
      <c r="K87" s="12" t="s">
        <v>3239</v>
      </c>
      <c r="L87" s="12"/>
      <c r="M87" s="12" t="s">
        <v>3251</v>
      </c>
      <c r="N87" s="12" t="s">
        <v>3252</v>
      </c>
      <c r="O87" s="12" t="s">
        <v>60</v>
      </c>
      <c r="P87" s="12"/>
      <c r="Q87" s="12"/>
      <c r="R87" s="12"/>
      <c r="S87" s="12"/>
      <c r="T87" s="13" t="str">
        <f t="shared" si="5"/>
        <v>需更正</v>
      </c>
      <c r="U87" s="13" t="str">
        <f t="shared" si="6"/>
        <v>他是成熟男人還是幼稚男孩?</v>
      </c>
      <c r="V87" s="13" t="str">
        <f t="shared" si="7"/>
        <v>他_A/男/人/成(成人)/怎麼//幼稚/小孩/男/怎麼/這兩個/怎麼</v>
      </c>
      <c r="W87" s="13" t="str">
        <f t="shared" si="8"/>
        <v>是</v>
      </c>
      <c r="X87" s="13" t="str">
        <f t="shared" si="9"/>
        <v>通過</v>
      </c>
    </row>
    <row r="88" spans="1:24" ht="34" customHeight="1">
      <c r="A88" s="11" t="s">
        <v>560</v>
      </c>
      <c r="B88" s="11" t="s">
        <v>560</v>
      </c>
      <c r="C88" s="11" t="s">
        <v>54</v>
      </c>
      <c r="D88" s="11" t="s">
        <v>561</v>
      </c>
      <c r="E88" s="11" t="s">
        <v>562</v>
      </c>
      <c r="F88" s="11" t="s">
        <v>563</v>
      </c>
      <c r="G88" s="11" t="s">
        <v>58</v>
      </c>
      <c r="H88" s="11" t="s">
        <v>564</v>
      </c>
      <c r="I88" s="11" t="s">
        <v>565</v>
      </c>
      <c r="J88" s="12" t="s">
        <v>8</v>
      </c>
      <c r="K88" s="12"/>
      <c r="L88" s="12"/>
      <c r="M88" s="12"/>
      <c r="N88" s="12"/>
      <c r="O88" s="12" t="s">
        <v>60</v>
      </c>
      <c r="P88" s="12"/>
      <c r="Q88" s="12"/>
      <c r="R88" s="12"/>
      <c r="S88" s="12"/>
      <c r="T88" s="13" t="str">
        <f t="shared" si="5"/>
        <v>通過</v>
      </c>
      <c r="U88" s="13" t="str">
        <f t="shared" si="6"/>
        <v>農曆新年很熱鬧</v>
      </c>
      <c r="V88" s="13" t="str">
        <f t="shared" si="7"/>
        <v>春節/溫暖/熱鬧/吵鬧</v>
      </c>
      <c r="W88" s="13" t="str">
        <f t="shared" si="8"/>
        <v>是</v>
      </c>
      <c r="X88" s="13" t="str">
        <f t="shared" si="9"/>
        <v>通過</v>
      </c>
    </row>
    <row r="89" spans="1:24" ht="34" customHeight="1">
      <c r="A89" s="11" t="s">
        <v>566</v>
      </c>
      <c r="B89" s="11" t="s">
        <v>566</v>
      </c>
      <c r="C89" s="11" t="s">
        <v>54</v>
      </c>
      <c r="D89" s="11" t="s">
        <v>567</v>
      </c>
      <c r="E89" s="11" t="s">
        <v>568</v>
      </c>
      <c r="F89" s="11" t="s">
        <v>569</v>
      </c>
      <c r="G89" s="11" t="s">
        <v>58</v>
      </c>
      <c r="H89" s="11" t="s">
        <v>570</v>
      </c>
      <c r="I89" s="11" t="s">
        <v>571</v>
      </c>
      <c r="J89" s="12" t="s">
        <v>8</v>
      </c>
      <c r="K89" s="12"/>
      <c r="L89" s="12"/>
      <c r="M89" s="12"/>
      <c r="N89" s="12"/>
      <c r="O89" s="12" t="s">
        <v>60</v>
      </c>
      <c r="P89" s="12"/>
      <c r="Q89" s="12"/>
      <c r="R89" s="12"/>
      <c r="S89" s="12"/>
      <c r="T89" s="13" t="str">
        <f t="shared" si="5"/>
        <v>通過</v>
      </c>
      <c r="U89" s="13" t="str">
        <f t="shared" si="6"/>
        <v>我會包水餃</v>
      </c>
      <c r="V89" s="13" t="str">
        <f t="shared" si="7"/>
        <v>我/水餃/會</v>
      </c>
      <c r="W89" s="13" t="str">
        <f t="shared" si="8"/>
        <v>是</v>
      </c>
      <c r="X89" s="13" t="str">
        <f t="shared" si="9"/>
        <v>通過</v>
      </c>
    </row>
    <row r="90" spans="1:24" ht="34" customHeight="1">
      <c r="A90" s="11" t="s">
        <v>572</v>
      </c>
      <c r="B90" s="11" t="s">
        <v>572</v>
      </c>
      <c r="C90" s="11" t="s">
        <v>54</v>
      </c>
      <c r="D90" s="11" t="s">
        <v>573</v>
      </c>
      <c r="E90" s="11" t="s">
        <v>574</v>
      </c>
      <c r="F90" s="11" t="s">
        <v>575</v>
      </c>
      <c r="G90" s="11" t="s">
        <v>58</v>
      </c>
      <c r="H90" s="11" t="s">
        <v>576</v>
      </c>
      <c r="I90" s="11" t="s">
        <v>577</v>
      </c>
      <c r="J90" s="12" t="s">
        <v>8</v>
      </c>
      <c r="K90" s="12"/>
      <c r="L90" s="12"/>
      <c r="M90" s="12"/>
      <c r="N90" s="12"/>
      <c r="O90" s="12" t="s">
        <v>60</v>
      </c>
      <c r="P90" s="12"/>
      <c r="Q90" s="12"/>
      <c r="R90" s="12"/>
      <c r="S90" s="12"/>
      <c r="T90" s="13" t="str">
        <f t="shared" si="5"/>
        <v>通過</v>
      </c>
      <c r="U90" s="13" t="str">
        <f t="shared" si="6"/>
        <v>請挑選你要的顏色</v>
      </c>
      <c r="V90" s="13" t="str">
        <f t="shared" si="7"/>
        <v>你/顏色/你/想/什麼/你/選</v>
      </c>
      <c r="W90" s="13" t="str">
        <f t="shared" si="8"/>
        <v>是</v>
      </c>
      <c r="X90" s="13" t="str">
        <f t="shared" si="9"/>
        <v>通過</v>
      </c>
    </row>
    <row r="91" spans="1:24" ht="34" customHeight="1">
      <c r="A91" s="11" t="s">
        <v>578</v>
      </c>
      <c r="B91" s="11" t="s">
        <v>578</v>
      </c>
      <c r="C91" s="11" t="s">
        <v>54</v>
      </c>
      <c r="D91" s="11" t="s">
        <v>579</v>
      </c>
      <c r="E91" s="11" t="s">
        <v>580</v>
      </c>
      <c r="F91" s="11" t="s">
        <v>581</v>
      </c>
      <c r="G91" s="11" t="s">
        <v>58</v>
      </c>
      <c r="H91" s="11" t="s">
        <v>582</v>
      </c>
      <c r="I91" s="11" t="s">
        <v>583</v>
      </c>
      <c r="J91" s="12" t="s">
        <v>8</v>
      </c>
      <c r="K91" s="12"/>
      <c r="L91" s="12"/>
      <c r="M91" s="12"/>
      <c r="N91" s="12"/>
      <c r="O91" s="12" t="s">
        <v>60</v>
      </c>
      <c r="P91" s="12"/>
      <c r="Q91" s="12"/>
      <c r="R91" s="12"/>
      <c r="S91" s="12"/>
      <c r="T91" s="13" t="str">
        <f t="shared" si="5"/>
        <v>通過</v>
      </c>
      <c r="U91" s="13" t="str">
        <f t="shared" si="6"/>
        <v>鐵筷比竹筷還要環保</v>
      </c>
      <c r="V91" s="13" t="str">
        <f t="shared" si="7"/>
        <v>鐵/筷子/竹子/筷子/比較/這/環保/棒/贏</v>
      </c>
      <c r="W91" s="13" t="str">
        <f t="shared" si="8"/>
        <v>是</v>
      </c>
      <c r="X91" s="13" t="str">
        <f t="shared" si="9"/>
        <v>通過</v>
      </c>
    </row>
    <row r="92" spans="1:24" ht="34" customHeight="1">
      <c r="A92" s="11" t="s">
        <v>584</v>
      </c>
      <c r="B92" s="11" t="s">
        <v>584</v>
      </c>
      <c r="C92" s="11" t="s">
        <v>54</v>
      </c>
      <c r="D92" s="11" t="s">
        <v>585</v>
      </c>
      <c r="E92" s="11" t="s">
        <v>580</v>
      </c>
      <c r="F92" s="11" t="s">
        <v>586</v>
      </c>
      <c r="G92" s="11" t="s">
        <v>58</v>
      </c>
      <c r="H92" s="11" t="s">
        <v>587</v>
      </c>
      <c r="I92" s="11" t="s">
        <v>588</v>
      </c>
      <c r="J92" s="12" t="s">
        <v>8</v>
      </c>
      <c r="K92" s="12"/>
      <c r="L92" s="12"/>
      <c r="M92" s="12"/>
      <c r="N92" s="12"/>
      <c r="O92" s="12" t="s">
        <v>60</v>
      </c>
      <c r="P92" s="12"/>
      <c r="Q92" s="12"/>
      <c r="R92" s="12"/>
      <c r="S92" s="12"/>
      <c r="T92" s="13" t="str">
        <f t="shared" si="5"/>
        <v>通過</v>
      </c>
      <c r="U92" s="13" t="str">
        <f t="shared" si="6"/>
        <v>鐵筷比竹筷還要環保</v>
      </c>
      <c r="V92" s="13" t="str">
        <f t="shared" si="7"/>
        <v>竹/筷子/鐵/筷子/比較/這/環保/棒/贏</v>
      </c>
      <c r="W92" s="13" t="str">
        <f t="shared" si="8"/>
        <v>是</v>
      </c>
      <c r="X92" s="13" t="str">
        <f t="shared" si="9"/>
        <v>通過</v>
      </c>
    </row>
    <row r="93" spans="1:24" ht="34" customHeight="1">
      <c r="A93" s="11" t="s">
        <v>589</v>
      </c>
      <c r="B93" s="11" t="s">
        <v>589</v>
      </c>
      <c r="C93" s="11" t="s">
        <v>54</v>
      </c>
      <c r="D93" s="11" t="s">
        <v>590</v>
      </c>
      <c r="E93" s="11" t="s">
        <v>591</v>
      </c>
      <c r="F93" s="11" t="s">
        <v>592</v>
      </c>
      <c r="G93" s="11" t="s">
        <v>58</v>
      </c>
      <c r="H93" s="11" t="s">
        <v>593</v>
      </c>
      <c r="I93" s="11" t="s">
        <v>594</v>
      </c>
      <c r="J93" s="12" t="s">
        <v>8</v>
      </c>
      <c r="K93" s="12"/>
      <c r="L93" s="12"/>
      <c r="M93" s="12"/>
      <c r="N93" s="12"/>
      <c r="O93" s="12" t="s">
        <v>60</v>
      </c>
      <c r="P93" s="12"/>
      <c r="Q93" s="12"/>
      <c r="R93" s="12"/>
      <c r="S93" s="12"/>
      <c r="T93" s="13" t="str">
        <f t="shared" si="5"/>
        <v>通過</v>
      </c>
      <c r="U93" s="13" t="str">
        <f t="shared" si="6"/>
        <v>星期天去教會</v>
      </c>
      <c r="V93" s="13" t="str">
        <f t="shared" si="7"/>
        <v>禮拜天/去/教堂</v>
      </c>
      <c r="W93" s="13" t="str">
        <f t="shared" si="8"/>
        <v>是</v>
      </c>
      <c r="X93" s="13" t="str">
        <f t="shared" si="9"/>
        <v>通過</v>
      </c>
    </row>
    <row r="94" spans="1:24" ht="34" customHeight="1">
      <c r="A94" s="11" t="s">
        <v>595</v>
      </c>
      <c r="B94" s="11" t="s">
        <v>595</v>
      </c>
      <c r="C94" s="11" t="s">
        <v>54</v>
      </c>
      <c r="D94" s="11" t="s">
        <v>590</v>
      </c>
      <c r="E94" s="11" t="s">
        <v>596</v>
      </c>
      <c r="F94" s="11" t="s">
        <v>597</v>
      </c>
      <c r="G94" s="11" t="s">
        <v>58</v>
      </c>
      <c r="H94" s="11" t="s">
        <v>598</v>
      </c>
      <c r="I94" s="11" t="s">
        <v>599</v>
      </c>
      <c r="J94" s="12" t="s">
        <v>8</v>
      </c>
      <c r="K94" s="12"/>
      <c r="L94" s="12"/>
      <c r="M94" s="12"/>
      <c r="N94" s="12"/>
      <c r="O94" s="12" t="s">
        <v>60</v>
      </c>
      <c r="P94" s="12"/>
      <c r="Q94" s="12"/>
      <c r="R94" s="12"/>
      <c r="S94" s="12"/>
      <c r="T94" s="13" t="str">
        <f t="shared" si="5"/>
        <v>通過</v>
      </c>
      <c r="U94" s="13" t="str">
        <f t="shared" si="6"/>
        <v>這裡新蓋了一間教堂</v>
      </c>
      <c r="V94" s="13" t="str">
        <f t="shared" si="7"/>
        <v>這/新/建設/什麼/教堂</v>
      </c>
      <c r="W94" s="13" t="str">
        <f t="shared" si="8"/>
        <v>是</v>
      </c>
      <c r="X94" s="13" t="str">
        <f t="shared" si="9"/>
        <v>通過</v>
      </c>
    </row>
    <row r="95" spans="1:24" ht="34" customHeight="1">
      <c r="A95" s="11" t="s">
        <v>600</v>
      </c>
      <c r="B95" s="11" t="s">
        <v>600</v>
      </c>
      <c r="C95" s="11" t="s">
        <v>54</v>
      </c>
      <c r="D95" s="11" t="s">
        <v>601</v>
      </c>
      <c r="E95" s="11" t="s">
        <v>602</v>
      </c>
      <c r="F95" s="11" t="s">
        <v>603</v>
      </c>
      <c r="G95" s="11" t="s">
        <v>58</v>
      </c>
      <c r="H95" s="11" t="s">
        <v>604</v>
      </c>
      <c r="I95" s="11" t="s">
        <v>605</v>
      </c>
      <c r="J95" s="12" t="s">
        <v>8</v>
      </c>
      <c r="K95" s="12"/>
      <c r="L95" s="12"/>
      <c r="M95" s="12"/>
      <c r="N95" s="12"/>
      <c r="O95" s="12" t="s">
        <v>60</v>
      </c>
      <c r="P95" s="12"/>
      <c r="Q95" s="12"/>
      <c r="R95" s="12"/>
      <c r="S95" s="12"/>
      <c r="T95" s="13" t="str">
        <f t="shared" si="5"/>
        <v>通過</v>
      </c>
      <c r="U95" s="13" t="str">
        <f t="shared" si="6"/>
        <v>他對菸酒上癮</v>
      </c>
      <c r="V95" s="13" t="str">
        <f t="shared" si="7"/>
        <v>他/這/香煙/酒/上癮</v>
      </c>
      <c r="W95" s="13" t="str">
        <f t="shared" si="8"/>
        <v>是</v>
      </c>
      <c r="X95" s="13" t="str">
        <f t="shared" si="9"/>
        <v>通過</v>
      </c>
    </row>
    <row r="96" spans="1:24" ht="34" customHeight="1">
      <c r="A96" s="11" t="s">
        <v>606</v>
      </c>
      <c r="B96" s="11" t="s">
        <v>606</v>
      </c>
      <c r="C96" s="11" t="s">
        <v>54</v>
      </c>
      <c r="D96" s="11" t="s">
        <v>601</v>
      </c>
      <c r="E96" s="11" t="s">
        <v>607</v>
      </c>
      <c r="F96" s="11" t="s">
        <v>608</v>
      </c>
      <c r="G96" s="11" t="s">
        <v>58</v>
      </c>
      <c r="H96" s="11" t="s">
        <v>609</v>
      </c>
      <c r="I96" s="11" t="s">
        <v>610</v>
      </c>
      <c r="J96" s="12" t="s">
        <v>8</v>
      </c>
      <c r="K96" s="12"/>
      <c r="L96" s="12"/>
      <c r="M96" s="12"/>
      <c r="N96" s="12"/>
      <c r="O96" s="12" t="s">
        <v>60</v>
      </c>
      <c r="P96" s="12"/>
      <c r="Q96" s="12"/>
      <c r="R96" s="12"/>
      <c r="S96" s="12"/>
      <c r="T96" s="13" t="str">
        <f t="shared" si="5"/>
        <v>通過</v>
      </c>
      <c r="U96" s="13" t="str">
        <f t="shared" si="6"/>
        <v>校園禁止抽煙</v>
      </c>
      <c r="V96" s="13" t="str">
        <f t="shared" si="7"/>
        <v>學校/這/抽煙/禁止</v>
      </c>
      <c r="W96" s="13" t="str">
        <f t="shared" si="8"/>
        <v>是</v>
      </c>
      <c r="X96" s="13" t="str">
        <f t="shared" si="9"/>
        <v>通過</v>
      </c>
    </row>
    <row r="97" spans="1:24" ht="34" customHeight="1">
      <c r="A97" s="11" t="s">
        <v>611</v>
      </c>
      <c r="B97" s="11" t="s">
        <v>611</v>
      </c>
      <c r="C97" s="11" t="s">
        <v>54</v>
      </c>
      <c r="D97" s="11" t="s">
        <v>612</v>
      </c>
      <c r="E97" s="11" t="s">
        <v>613</v>
      </c>
      <c r="F97" s="11" t="s">
        <v>614</v>
      </c>
      <c r="G97" s="11" t="s">
        <v>58</v>
      </c>
      <c r="H97" s="11" t="s">
        <v>615</v>
      </c>
      <c r="I97" s="11" t="s">
        <v>616</v>
      </c>
      <c r="J97" s="12" t="s">
        <v>8</v>
      </c>
      <c r="K97" s="12"/>
      <c r="L97" s="12"/>
      <c r="M97" s="12"/>
      <c r="N97" s="12"/>
      <c r="O97" s="12" t="s">
        <v>60</v>
      </c>
      <c r="P97" s="12"/>
      <c r="Q97" s="12"/>
      <c r="R97" s="12"/>
      <c r="S97" s="12"/>
      <c r="T97" s="13" t="str">
        <f t="shared" si="5"/>
        <v>通過</v>
      </c>
      <c r="U97" s="13" t="str">
        <f t="shared" si="6"/>
        <v>這座城市很漂亮</v>
      </c>
      <c r="V97" s="13" t="str">
        <f t="shared" si="7"/>
        <v>這/城/四周/美/美</v>
      </c>
      <c r="W97" s="13" t="str">
        <f t="shared" si="8"/>
        <v>是</v>
      </c>
      <c r="X97" s="13" t="str">
        <f t="shared" si="9"/>
        <v>通過</v>
      </c>
    </row>
    <row r="98" spans="1:24" ht="34" customHeight="1">
      <c r="A98" s="11" t="s">
        <v>617</v>
      </c>
      <c r="B98" s="11" t="s">
        <v>617</v>
      </c>
      <c r="C98" s="11" t="s">
        <v>54</v>
      </c>
      <c r="D98" s="11" t="s">
        <v>618</v>
      </c>
      <c r="E98" s="11" t="s">
        <v>619</v>
      </c>
      <c r="F98" s="11" t="s">
        <v>620</v>
      </c>
      <c r="G98" s="11" t="s">
        <v>58</v>
      </c>
      <c r="H98" s="11" t="s">
        <v>621</v>
      </c>
      <c r="I98" s="11" t="s">
        <v>622</v>
      </c>
      <c r="J98" s="12" t="s">
        <v>8</v>
      </c>
      <c r="K98" s="12"/>
      <c r="L98" s="12"/>
      <c r="M98" s="12"/>
      <c r="N98" s="12"/>
      <c r="O98" s="12" t="s">
        <v>60</v>
      </c>
      <c r="P98" s="12"/>
      <c r="Q98" s="12"/>
      <c r="R98" s="12"/>
      <c r="S98" s="12"/>
      <c r="T98" s="13" t="str">
        <f t="shared" si="5"/>
        <v>通過</v>
      </c>
      <c r="U98" s="13" t="str">
        <f t="shared" si="6"/>
        <v>剛剛發生車禍，於是我申請了保險理賠</v>
      </c>
      <c r="V98" s="13" t="str">
        <f t="shared" si="7"/>
        <v>剛剛/發生/車禍/這/申請/保險/索賠</v>
      </c>
      <c r="W98" s="13" t="str">
        <f t="shared" si="8"/>
        <v>是</v>
      </c>
      <c r="X98" s="13" t="str">
        <f t="shared" si="9"/>
        <v>通過</v>
      </c>
    </row>
    <row r="99" spans="1:24" ht="34" customHeight="1">
      <c r="A99" s="11" t="s">
        <v>623</v>
      </c>
      <c r="B99" s="11" t="s">
        <v>623</v>
      </c>
      <c r="C99" s="11" t="s">
        <v>54</v>
      </c>
      <c r="D99" s="11" t="s">
        <v>624</v>
      </c>
      <c r="E99" s="11" t="s">
        <v>625</v>
      </c>
      <c r="F99" s="11" t="s">
        <v>626</v>
      </c>
      <c r="G99" s="11" t="s">
        <v>58</v>
      </c>
      <c r="H99" s="11" t="s">
        <v>627</v>
      </c>
      <c r="I99" s="11" t="s">
        <v>628</v>
      </c>
      <c r="J99" s="12" t="s">
        <v>8</v>
      </c>
      <c r="K99" s="12"/>
      <c r="L99" s="12"/>
      <c r="M99" s="12"/>
      <c r="N99" s="12"/>
      <c r="O99" s="12" t="s">
        <v>60</v>
      </c>
      <c r="P99" s="12"/>
      <c r="Q99" s="12"/>
      <c r="R99" s="12"/>
      <c r="S99" s="12"/>
      <c r="T99" s="13" t="str">
        <f t="shared" si="5"/>
        <v>通過</v>
      </c>
      <c r="U99" s="13" t="str">
        <f t="shared" si="6"/>
        <v>他跟我是同學</v>
      </c>
      <c r="V99" s="13" t="str">
        <f t="shared" si="7"/>
        <v>我倆/同學/是</v>
      </c>
      <c r="W99" s="13" t="str">
        <f t="shared" si="8"/>
        <v>是</v>
      </c>
      <c r="X99" s="13" t="str">
        <f t="shared" si="9"/>
        <v>通過</v>
      </c>
    </row>
    <row r="100" spans="1:24" ht="34" customHeight="1">
      <c r="A100" s="11" t="s">
        <v>629</v>
      </c>
      <c r="B100" s="11" t="s">
        <v>629</v>
      </c>
      <c r="C100" s="11" t="s">
        <v>54</v>
      </c>
      <c r="D100" s="11" t="s">
        <v>630</v>
      </c>
      <c r="E100" s="11" t="s">
        <v>631</v>
      </c>
      <c r="F100" s="11" t="s">
        <v>632</v>
      </c>
      <c r="G100" s="11" t="s">
        <v>58</v>
      </c>
      <c r="H100" s="11" t="s">
        <v>633</v>
      </c>
      <c r="I100" s="11" t="s">
        <v>634</v>
      </c>
      <c r="J100" s="12" t="s">
        <v>3253</v>
      </c>
      <c r="K100" s="12"/>
      <c r="L100" s="12"/>
      <c r="M100" s="12"/>
      <c r="N100" s="12"/>
      <c r="O100" s="12" t="s">
        <v>3250</v>
      </c>
      <c r="P100" s="12"/>
      <c r="Q100" s="12"/>
      <c r="R100" s="12"/>
      <c r="S100" s="12"/>
      <c r="T100" s="13" t="str">
        <f t="shared" si="5"/>
        <v>通過</v>
      </c>
      <c r="U100" s="13" t="str">
        <f t="shared" si="6"/>
        <v>你的房間整理得很乾淨</v>
      </c>
      <c r="V100" s="13" t="str">
        <f t="shared" si="7"/>
        <v>你/住/房間/那/乾淨/棒/整理/棒</v>
      </c>
      <c r="W100" s="13" t="str">
        <f t="shared" si="8"/>
        <v>是</v>
      </c>
      <c r="X100" s="13" t="str">
        <f t="shared" si="9"/>
        <v>通過</v>
      </c>
    </row>
    <row r="101" spans="1:24" ht="34" customHeight="1">
      <c r="A101" s="11" t="s">
        <v>635</v>
      </c>
      <c r="B101" s="11" t="s">
        <v>635</v>
      </c>
      <c r="C101" s="11" t="s">
        <v>54</v>
      </c>
      <c r="D101" s="11" t="s">
        <v>630</v>
      </c>
      <c r="E101" s="11" t="s">
        <v>636</v>
      </c>
      <c r="F101" s="11" t="s">
        <v>637</v>
      </c>
      <c r="G101" s="11" t="s">
        <v>58</v>
      </c>
      <c r="H101" s="11" t="s">
        <v>638</v>
      </c>
      <c r="I101" s="11" t="s">
        <v>639</v>
      </c>
      <c r="J101" s="12" t="s">
        <v>8</v>
      </c>
      <c r="K101" s="12"/>
      <c r="L101" s="12"/>
      <c r="M101" s="12"/>
      <c r="N101" s="12"/>
      <c r="O101" s="12" t="s">
        <v>60</v>
      </c>
      <c r="P101" s="12"/>
      <c r="Q101" s="12"/>
      <c r="R101" s="12"/>
      <c r="S101" s="12"/>
      <c r="T101" s="13" t="str">
        <f t="shared" si="5"/>
        <v>通過</v>
      </c>
      <c r="U101" s="13" t="str">
        <f t="shared" si="6"/>
        <v>病人使用過的東西記得必須清洗乾淨</v>
      </c>
      <c r="V101" s="13" t="str">
        <f t="shared" si="7"/>
        <v>病人/這/使用/東西/這/你/記得/什麼/那/東西/乾淨/洗/東西/乾淨/要</v>
      </c>
      <c r="W101" s="13" t="str">
        <f t="shared" si="8"/>
        <v>是</v>
      </c>
      <c r="X101" s="13" t="str">
        <f t="shared" si="9"/>
        <v>通過</v>
      </c>
    </row>
    <row r="102" spans="1:24" ht="34" customHeight="1">
      <c r="A102" s="11" t="s">
        <v>640</v>
      </c>
      <c r="B102" s="11" t="s">
        <v>640</v>
      </c>
      <c r="C102" s="11" t="s">
        <v>54</v>
      </c>
      <c r="D102" s="11" t="s">
        <v>641</v>
      </c>
      <c r="E102" s="11" t="s">
        <v>642</v>
      </c>
      <c r="F102" s="11" t="s">
        <v>643</v>
      </c>
      <c r="G102" s="11" t="s">
        <v>58</v>
      </c>
      <c r="H102" s="11" t="s">
        <v>644</v>
      </c>
      <c r="I102" s="11" t="s">
        <v>645</v>
      </c>
      <c r="J102" s="12" t="s">
        <v>8</v>
      </c>
      <c r="K102" s="12"/>
      <c r="L102" s="12"/>
      <c r="M102" s="12"/>
      <c r="N102" s="12"/>
      <c r="O102" s="12" t="s">
        <v>60</v>
      </c>
      <c r="P102" s="12"/>
      <c r="Q102" s="12"/>
      <c r="R102" s="12"/>
      <c r="S102" s="12"/>
      <c r="T102" s="13" t="str">
        <f t="shared" si="5"/>
        <v>通過</v>
      </c>
      <c r="U102" s="13" t="str">
        <f t="shared" si="6"/>
        <v>你離開時，幫我把門關上</v>
      </c>
      <c r="V102" s="13" t="str">
        <f t="shared" si="7"/>
        <v>你/離開家/幫我/關門</v>
      </c>
      <c r="W102" s="13" t="str">
        <f t="shared" si="8"/>
        <v>是</v>
      </c>
      <c r="X102" s="13" t="str">
        <f t="shared" si="9"/>
        <v>通過</v>
      </c>
    </row>
    <row r="103" spans="1:24" ht="34" customHeight="1">
      <c r="A103" s="11" t="s">
        <v>646</v>
      </c>
      <c r="B103" s="11" t="s">
        <v>646</v>
      </c>
      <c r="C103" s="11" t="s">
        <v>54</v>
      </c>
      <c r="D103" s="11" t="s">
        <v>641</v>
      </c>
      <c r="E103" s="11" t="s">
        <v>647</v>
      </c>
      <c r="F103" s="11" t="s">
        <v>648</v>
      </c>
      <c r="G103" s="11" t="s">
        <v>58</v>
      </c>
      <c r="H103" s="11" t="s">
        <v>649</v>
      </c>
      <c r="I103" s="11" t="s">
        <v>650</v>
      </c>
      <c r="J103" s="12" t="s">
        <v>8</v>
      </c>
      <c r="K103" s="12"/>
      <c r="L103" s="12"/>
      <c r="M103" s="12"/>
      <c r="N103" s="12"/>
      <c r="O103" s="12" t="s">
        <v>60</v>
      </c>
      <c r="P103" s="12"/>
      <c r="Q103" s="12"/>
      <c r="R103" s="12"/>
      <c r="S103" s="12"/>
      <c r="T103" s="13" t="str">
        <f t="shared" si="5"/>
        <v>通過</v>
      </c>
      <c r="U103" s="13" t="str">
        <f t="shared" si="6"/>
        <v>關門時要輕一點</v>
      </c>
      <c r="V103" s="13" t="str">
        <f t="shared" si="7"/>
        <v>你/手把/關門/關門/輕</v>
      </c>
      <c r="W103" s="13" t="str">
        <f t="shared" si="8"/>
        <v>是</v>
      </c>
      <c r="X103" s="13" t="str">
        <f t="shared" si="9"/>
        <v>通過</v>
      </c>
    </row>
    <row r="104" spans="1:24" ht="34" customHeight="1">
      <c r="A104" s="11" t="s">
        <v>651</v>
      </c>
      <c r="B104" s="11" t="s">
        <v>651</v>
      </c>
      <c r="C104" s="11" t="s">
        <v>54</v>
      </c>
      <c r="D104" s="11" t="s">
        <v>652</v>
      </c>
      <c r="E104" s="11" t="s">
        <v>653</v>
      </c>
      <c r="F104" s="11" t="s">
        <v>654</v>
      </c>
      <c r="G104" s="11" t="s">
        <v>58</v>
      </c>
      <c r="H104" s="11" t="s">
        <v>655</v>
      </c>
      <c r="I104" s="11" t="s">
        <v>656</v>
      </c>
      <c r="J104" s="12" t="s">
        <v>8</v>
      </c>
      <c r="K104" s="12"/>
      <c r="L104" s="12"/>
      <c r="M104" s="12"/>
      <c r="N104" s="12"/>
      <c r="O104" s="12" t="s">
        <v>60</v>
      </c>
      <c r="P104" s="12"/>
      <c r="Q104" s="12"/>
      <c r="R104" s="12"/>
      <c r="S104" s="12"/>
      <c r="T104" s="13" t="str">
        <f t="shared" si="5"/>
        <v>通過</v>
      </c>
      <c r="U104" s="13" t="str">
        <f t="shared" si="6"/>
        <v>衣服在桌子上</v>
      </c>
      <c r="V104" s="13" t="str">
        <f t="shared" si="7"/>
        <v>桌子/衣服/放</v>
      </c>
      <c r="W104" s="13" t="str">
        <f t="shared" si="8"/>
        <v>是</v>
      </c>
      <c r="X104" s="13" t="str">
        <f t="shared" si="9"/>
        <v>通過</v>
      </c>
    </row>
    <row r="105" spans="1:24" ht="34" customHeight="1">
      <c r="A105" s="11" t="s">
        <v>657</v>
      </c>
      <c r="B105" s="11" t="s">
        <v>657</v>
      </c>
      <c r="C105" s="11" t="s">
        <v>54</v>
      </c>
      <c r="D105" s="11" t="s">
        <v>658</v>
      </c>
      <c r="E105" s="11" t="s">
        <v>659</v>
      </c>
      <c r="F105" s="11" t="s">
        <v>660</v>
      </c>
      <c r="G105" s="11" t="s">
        <v>58</v>
      </c>
      <c r="H105" s="11" t="s">
        <v>661</v>
      </c>
      <c r="I105" s="11" t="s">
        <v>662</v>
      </c>
      <c r="J105" s="12" t="s">
        <v>3253</v>
      </c>
      <c r="K105" s="12"/>
      <c r="L105" s="12"/>
      <c r="M105" s="12"/>
      <c r="N105" s="12"/>
      <c r="O105" s="12" t="s">
        <v>3250</v>
      </c>
      <c r="P105" s="12"/>
      <c r="Q105" s="12"/>
      <c r="R105" s="12"/>
      <c r="S105" s="12"/>
      <c r="T105" s="13" t="str">
        <f t="shared" si="5"/>
        <v>通過</v>
      </c>
      <c r="U105" s="13" t="str">
        <f t="shared" si="6"/>
        <v>雲在天上</v>
      </c>
      <c r="V105" s="13" t="str">
        <f t="shared" si="7"/>
        <v>雲/那裡</v>
      </c>
      <c r="W105" s="13" t="str">
        <f t="shared" si="8"/>
        <v>是</v>
      </c>
      <c r="X105" s="13" t="str">
        <f t="shared" si="9"/>
        <v>通過</v>
      </c>
    </row>
    <row r="106" spans="1:24" ht="34" customHeight="1">
      <c r="A106" s="11" t="s">
        <v>663</v>
      </c>
      <c r="B106" s="11" t="s">
        <v>663</v>
      </c>
      <c r="C106" s="11" t="s">
        <v>54</v>
      </c>
      <c r="D106" s="11" t="s">
        <v>664</v>
      </c>
      <c r="E106" s="11" t="s">
        <v>665</v>
      </c>
      <c r="F106" s="11" t="s">
        <v>666</v>
      </c>
      <c r="G106" s="11" t="s">
        <v>58</v>
      </c>
      <c r="H106" s="11" t="s">
        <v>667</v>
      </c>
      <c r="I106" s="11" t="s">
        <v>668</v>
      </c>
      <c r="J106" s="12" t="s">
        <v>8</v>
      </c>
      <c r="K106" s="12"/>
      <c r="L106" s="12"/>
      <c r="M106" s="12"/>
      <c r="N106" s="12"/>
      <c r="O106" s="12" t="s">
        <v>60</v>
      </c>
      <c r="P106" s="12"/>
      <c r="Q106" s="12"/>
      <c r="R106" s="12"/>
      <c r="S106" s="12"/>
      <c r="T106" s="13" t="str">
        <f t="shared" si="5"/>
        <v>通過</v>
      </c>
      <c r="U106" s="13" t="str">
        <f t="shared" si="6"/>
        <v>昨天陰天，今天大太陽</v>
      </c>
      <c r="V106" s="13" t="str">
        <f t="shared" si="7"/>
        <v>昨天/陰天/現在/太陽</v>
      </c>
      <c r="W106" s="13" t="str">
        <f t="shared" si="8"/>
        <v>是</v>
      </c>
      <c r="X106" s="13" t="str">
        <f t="shared" si="9"/>
        <v>通過</v>
      </c>
    </row>
    <row r="107" spans="1:24" ht="34" customHeight="1">
      <c r="A107" s="11" t="s">
        <v>669</v>
      </c>
      <c r="B107" s="11" t="s">
        <v>669</v>
      </c>
      <c r="C107" s="11" t="s">
        <v>54</v>
      </c>
      <c r="D107" s="11" t="s">
        <v>670</v>
      </c>
      <c r="E107" s="11" t="s">
        <v>671</v>
      </c>
      <c r="F107" s="11" t="s">
        <v>672</v>
      </c>
      <c r="G107" s="11" t="s">
        <v>58</v>
      </c>
      <c r="H107" s="11" t="s">
        <v>673</v>
      </c>
      <c r="I107" s="11" t="s">
        <v>674</v>
      </c>
      <c r="J107" s="12" t="s">
        <v>8</v>
      </c>
      <c r="K107" s="12"/>
      <c r="L107" s="12"/>
      <c r="M107" s="12"/>
      <c r="N107" s="12"/>
      <c r="O107" s="12" t="s">
        <v>60</v>
      </c>
      <c r="P107" s="12"/>
      <c r="Q107" s="12"/>
      <c r="R107" s="12"/>
      <c r="S107" s="12"/>
      <c r="T107" s="13" t="str">
        <f t="shared" si="5"/>
        <v>通過</v>
      </c>
      <c r="U107" s="13" t="str">
        <f t="shared" si="6"/>
        <v>這個小丑不時出現，逗人發笑</v>
      </c>
      <c r="V107" s="13" t="str">
        <f t="shared" si="7"/>
        <v>這/小/小丑/忽然/到處/笑/幽默</v>
      </c>
      <c r="W107" s="13" t="str">
        <f t="shared" si="8"/>
        <v>是</v>
      </c>
      <c r="X107" s="13" t="str">
        <f t="shared" si="9"/>
        <v>通過</v>
      </c>
    </row>
    <row r="108" spans="1:24" ht="34" customHeight="1">
      <c r="A108" s="11" t="s">
        <v>675</v>
      </c>
      <c r="B108" s="11" t="s">
        <v>675</v>
      </c>
      <c r="C108" s="11" t="s">
        <v>54</v>
      </c>
      <c r="D108" s="11" t="s">
        <v>676</v>
      </c>
      <c r="E108" s="11" t="s">
        <v>677</v>
      </c>
      <c r="F108" s="11" t="s">
        <v>678</v>
      </c>
      <c r="G108" s="11" t="s">
        <v>58</v>
      </c>
      <c r="H108" s="11" t="s">
        <v>679</v>
      </c>
      <c r="I108" s="11" t="s">
        <v>680</v>
      </c>
      <c r="J108" s="12" t="s">
        <v>10</v>
      </c>
      <c r="K108" s="12" t="s">
        <v>3242</v>
      </c>
      <c r="L108" s="12"/>
      <c r="M108" s="12" t="s">
        <v>3254</v>
      </c>
      <c r="N108" s="12" t="s">
        <v>3255</v>
      </c>
      <c r="O108" s="12" t="s">
        <v>60</v>
      </c>
      <c r="P108" s="12"/>
      <c r="Q108" s="12"/>
      <c r="R108" s="12"/>
      <c r="S108" s="12"/>
      <c r="T108" s="13" t="str">
        <f t="shared" si="5"/>
        <v>需更正</v>
      </c>
      <c r="U108" s="13" t="str">
        <f t="shared" si="6"/>
        <v>媽媽很怕蟑螂</v>
      </c>
      <c r="V108" s="13" t="str">
        <f t="shared" si="7"/>
        <v>那/蟑螂/媽媽/那/怕</v>
      </c>
      <c r="W108" s="13" t="str">
        <f t="shared" si="8"/>
        <v>是</v>
      </c>
      <c r="X108" s="13" t="str">
        <f t="shared" si="9"/>
        <v>通過</v>
      </c>
    </row>
    <row r="109" spans="1:24" ht="34" customHeight="1">
      <c r="A109" s="11" t="s">
        <v>681</v>
      </c>
      <c r="B109" s="11" t="s">
        <v>681</v>
      </c>
      <c r="C109" s="11" t="s">
        <v>54</v>
      </c>
      <c r="D109" s="11" t="s">
        <v>682</v>
      </c>
      <c r="E109" s="11" t="s">
        <v>683</v>
      </c>
      <c r="F109" s="11" t="s">
        <v>684</v>
      </c>
      <c r="G109" s="11" t="s">
        <v>58</v>
      </c>
      <c r="H109" s="11" t="s">
        <v>685</v>
      </c>
      <c r="I109" s="11" t="s">
        <v>686</v>
      </c>
      <c r="J109" s="12" t="s">
        <v>8</v>
      </c>
      <c r="K109" s="12"/>
      <c r="L109" s="12"/>
      <c r="M109" s="12"/>
      <c r="N109" s="12"/>
      <c r="O109" s="12" t="s">
        <v>60</v>
      </c>
      <c r="P109" s="12"/>
      <c r="Q109" s="12"/>
      <c r="R109" s="12"/>
      <c r="S109" s="12"/>
      <c r="T109" s="13" t="str">
        <f t="shared" si="5"/>
        <v>通過</v>
      </c>
      <c r="U109" s="13" t="str">
        <f t="shared" si="6"/>
        <v>這杯咖啡很苦</v>
      </c>
      <c r="V109" s="13" t="str">
        <f t="shared" si="7"/>
        <v>這/咖啡/喝/苦</v>
      </c>
      <c r="W109" s="13" t="str">
        <f t="shared" si="8"/>
        <v>是</v>
      </c>
      <c r="X109" s="13" t="str">
        <f t="shared" si="9"/>
        <v>通過</v>
      </c>
    </row>
    <row r="110" spans="1:24" ht="34" customHeight="1">
      <c r="A110" s="11" t="s">
        <v>687</v>
      </c>
      <c r="B110" s="11" t="s">
        <v>687</v>
      </c>
      <c r="C110" s="11" t="s">
        <v>54</v>
      </c>
      <c r="D110" s="11" t="s">
        <v>688</v>
      </c>
      <c r="E110" s="11" t="s">
        <v>689</v>
      </c>
      <c r="F110" s="11" t="s">
        <v>690</v>
      </c>
      <c r="G110" s="11" t="s">
        <v>58</v>
      </c>
      <c r="H110" s="11" t="s">
        <v>691</v>
      </c>
      <c r="I110" s="11" t="s">
        <v>692</v>
      </c>
      <c r="J110" s="12" t="s">
        <v>8</v>
      </c>
      <c r="K110" s="12"/>
      <c r="L110" s="12"/>
      <c r="M110" s="12"/>
      <c r="N110" s="12"/>
      <c r="O110" s="12" t="s">
        <v>60</v>
      </c>
      <c r="P110" s="12"/>
      <c r="Q110" s="12"/>
      <c r="R110" s="12"/>
      <c r="S110" s="12"/>
      <c r="T110" s="13" t="str">
        <f t="shared" si="5"/>
        <v>通過</v>
      </c>
      <c r="U110" s="13" t="str">
        <f t="shared" si="6"/>
        <v>吃完一大碗冰後我覺得很冷</v>
      </c>
      <c r="V110" s="13" t="str">
        <f t="shared" si="7"/>
        <v>冰/大碗/我/吃/覺得/冷</v>
      </c>
      <c r="W110" s="13" t="str">
        <f t="shared" si="8"/>
        <v>是</v>
      </c>
      <c r="X110" s="13" t="str">
        <f t="shared" si="9"/>
        <v>通過</v>
      </c>
    </row>
    <row r="111" spans="1:24" ht="34" customHeight="1">
      <c r="A111" s="11" t="s">
        <v>693</v>
      </c>
      <c r="B111" s="11" t="s">
        <v>693</v>
      </c>
      <c r="C111" s="11" t="s">
        <v>54</v>
      </c>
      <c r="D111" s="11" t="s">
        <v>694</v>
      </c>
      <c r="E111" s="11" t="s">
        <v>695</v>
      </c>
      <c r="F111" s="11" t="s">
        <v>696</v>
      </c>
      <c r="G111" s="11" t="s">
        <v>58</v>
      </c>
      <c r="H111" s="11" t="s">
        <v>697</v>
      </c>
      <c r="I111" s="11" t="s">
        <v>698</v>
      </c>
      <c r="J111" s="12" t="s">
        <v>8</v>
      </c>
      <c r="K111" s="12"/>
      <c r="L111" s="12"/>
      <c r="M111" s="12"/>
      <c r="N111" s="12"/>
      <c r="O111" s="12" t="s">
        <v>60</v>
      </c>
      <c r="P111" s="12"/>
      <c r="Q111" s="12"/>
      <c r="R111" s="12"/>
      <c r="S111" s="12"/>
      <c r="T111" s="13" t="str">
        <f t="shared" si="5"/>
        <v>通過</v>
      </c>
      <c r="U111" s="13" t="str">
        <f t="shared" si="6"/>
        <v>你有收集郵票嗎?</v>
      </c>
      <c r="V111" s="13" t="str">
        <f t="shared" si="7"/>
        <v>郵票/張/郵票/你/收集/有沒有</v>
      </c>
      <c r="W111" s="13" t="str">
        <f t="shared" si="8"/>
        <v>是</v>
      </c>
      <c r="X111" s="13" t="str">
        <f t="shared" si="9"/>
        <v>通過</v>
      </c>
    </row>
    <row r="112" spans="1:24" ht="34" customHeight="1">
      <c r="A112" s="11" t="s">
        <v>699</v>
      </c>
      <c r="B112" s="11" t="s">
        <v>699</v>
      </c>
      <c r="C112" s="11" t="s">
        <v>54</v>
      </c>
      <c r="D112" s="11" t="s">
        <v>700</v>
      </c>
      <c r="E112" s="11" t="s">
        <v>701</v>
      </c>
      <c r="F112" s="11" t="s">
        <v>702</v>
      </c>
      <c r="G112" s="11" t="s">
        <v>58</v>
      </c>
      <c r="H112" s="11" t="s">
        <v>703</v>
      </c>
      <c r="I112" s="11" t="s">
        <v>704</v>
      </c>
      <c r="J112" s="12" t="s">
        <v>8</v>
      </c>
      <c r="K112" s="12"/>
      <c r="L112" s="12"/>
      <c r="M112" s="12"/>
      <c r="N112" s="12"/>
      <c r="O112" s="12" t="s">
        <v>60</v>
      </c>
      <c r="P112" s="12"/>
      <c r="Q112" s="12"/>
      <c r="R112" s="12"/>
      <c r="S112" s="12"/>
      <c r="T112" s="13" t="str">
        <f t="shared" si="5"/>
        <v>通過</v>
      </c>
      <c r="U112" s="13" t="str">
        <f t="shared" si="6"/>
        <v>這個顏色太暗了</v>
      </c>
      <c r="V112" s="13" t="str">
        <f t="shared" si="7"/>
        <v>這/顏色/暗</v>
      </c>
      <c r="W112" s="13" t="str">
        <f t="shared" si="8"/>
        <v>是</v>
      </c>
      <c r="X112" s="13" t="str">
        <f t="shared" si="9"/>
        <v>通過</v>
      </c>
    </row>
    <row r="113" spans="1:24" ht="34" customHeight="1">
      <c r="A113" s="11" t="s">
        <v>705</v>
      </c>
      <c r="B113" s="11" t="s">
        <v>705</v>
      </c>
      <c r="C113" s="11" t="s">
        <v>54</v>
      </c>
      <c r="D113" s="11" t="s">
        <v>706</v>
      </c>
      <c r="E113" s="11" t="s">
        <v>707</v>
      </c>
      <c r="F113" s="11" t="s">
        <v>708</v>
      </c>
      <c r="G113" s="11" t="s">
        <v>58</v>
      </c>
      <c r="H113" s="11" t="s">
        <v>709</v>
      </c>
      <c r="I113" s="11" t="s">
        <v>710</v>
      </c>
      <c r="J113" s="12" t="s">
        <v>8</v>
      </c>
      <c r="K113" s="12"/>
      <c r="L113" s="12"/>
      <c r="M113" s="12"/>
      <c r="N113" s="12"/>
      <c r="O113" s="12" t="s">
        <v>60</v>
      </c>
      <c r="P113" s="12"/>
      <c r="Q113" s="12"/>
      <c r="R113" s="12"/>
      <c r="S113" s="12"/>
      <c r="T113" s="13" t="str">
        <f t="shared" si="5"/>
        <v>通過</v>
      </c>
      <c r="U113" s="13" t="str">
        <f t="shared" si="6"/>
        <v>這衣服穿起來很舒服</v>
      </c>
      <c r="V113" s="13" t="str">
        <f t="shared" si="7"/>
        <v>這/衣服/穿/舒服</v>
      </c>
      <c r="W113" s="13" t="str">
        <f t="shared" si="8"/>
        <v>是</v>
      </c>
      <c r="X113" s="13" t="str">
        <f t="shared" si="9"/>
        <v>通過</v>
      </c>
    </row>
    <row r="114" spans="1:24" ht="34" customHeight="1">
      <c r="A114" s="11" t="s">
        <v>711</v>
      </c>
      <c r="B114" s="11" t="s">
        <v>711</v>
      </c>
      <c r="C114" s="11" t="s">
        <v>54</v>
      </c>
      <c r="D114" s="11" t="s">
        <v>712</v>
      </c>
      <c r="E114" s="11" t="s">
        <v>713</v>
      </c>
      <c r="F114" s="11" t="s">
        <v>714</v>
      </c>
      <c r="G114" s="11" t="s">
        <v>58</v>
      </c>
      <c r="H114" s="11" t="s">
        <v>715</v>
      </c>
      <c r="I114" s="11" t="s">
        <v>716</v>
      </c>
      <c r="J114" s="12" t="s">
        <v>8</v>
      </c>
      <c r="K114" s="12"/>
      <c r="L114" s="12"/>
      <c r="M114" s="12"/>
      <c r="N114" s="12"/>
      <c r="O114" s="12" t="s">
        <v>60</v>
      </c>
      <c r="P114" s="12"/>
      <c r="Q114" s="12"/>
      <c r="R114" s="12"/>
      <c r="S114" s="12"/>
      <c r="T114" s="13" t="str">
        <f t="shared" si="5"/>
        <v>通過</v>
      </c>
      <c r="U114" s="13" t="str">
        <f t="shared" si="6"/>
        <v>剛剛爸爸命令我去整理房 間</v>
      </c>
      <c r="V114" s="13" t="str">
        <f t="shared" si="7"/>
        <v>剛剛/爸爸/命令我/去/房間/整理</v>
      </c>
      <c r="W114" s="13" t="str">
        <f t="shared" si="8"/>
        <v>是</v>
      </c>
      <c r="X114" s="13" t="str">
        <f t="shared" si="9"/>
        <v>通過</v>
      </c>
    </row>
    <row r="115" spans="1:24" ht="34" customHeight="1">
      <c r="A115" s="11" t="s">
        <v>717</v>
      </c>
      <c r="B115" s="11" t="s">
        <v>717</v>
      </c>
      <c r="C115" s="11" t="s">
        <v>54</v>
      </c>
      <c r="D115" s="11" t="s">
        <v>718</v>
      </c>
      <c r="E115" s="11" t="s">
        <v>719</v>
      </c>
      <c r="F115" s="11" t="s">
        <v>720</v>
      </c>
      <c r="G115" s="11" t="s">
        <v>58</v>
      </c>
      <c r="H115" s="11" t="s">
        <v>721</v>
      </c>
      <c r="I115" s="11" t="s">
        <v>722</v>
      </c>
      <c r="J115" s="12" t="s">
        <v>8</v>
      </c>
      <c r="K115" s="12"/>
      <c r="L115" s="12"/>
      <c r="M115" s="12"/>
      <c r="N115" s="12"/>
      <c r="O115" s="12" t="s">
        <v>60</v>
      </c>
      <c r="P115" s="12"/>
      <c r="Q115" s="12"/>
      <c r="R115" s="12"/>
      <c r="S115" s="12"/>
      <c r="T115" s="13" t="str">
        <f t="shared" si="5"/>
        <v>通過</v>
      </c>
      <c r="U115" s="13" t="str">
        <f t="shared" si="6"/>
        <v>他送給我一張照片作紀念</v>
      </c>
      <c r="V115" s="13" t="str">
        <f t="shared" si="7"/>
        <v>他/送我/張/照片/紀念</v>
      </c>
      <c r="W115" s="13" t="str">
        <f t="shared" si="8"/>
        <v>是</v>
      </c>
      <c r="X115" s="13" t="str">
        <f t="shared" si="9"/>
        <v>通過</v>
      </c>
    </row>
    <row r="116" spans="1:24" ht="34" customHeight="1">
      <c r="A116" s="11" t="s">
        <v>723</v>
      </c>
      <c r="B116" s="11" t="s">
        <v>723</v>
      </c>
      <c r="C116" s="11" t="s">
        <v>54</v>
      </c>
      <c r="D116" s="11" t="s">
        <v>724</v>
      </c>
      <c r="E116" s="11" t="s">
        <v>725</v>
      </c>
      <c r="F116" s="11" t="s">
        <v>726</v>
      </c>
      <c r="G116" s="11" t="s">
        <v>58</v>
      </c>
      <c r="H116" s="11" t="s">
        <v>727</v>
      </c>
      <c r="I116" s="11" t="s">
        <v>728</v>
      </c>
      <c r="J116" s="12" t="s">
        <v>8</v>
      </c>
      <c r="K116" s="12"/>
      <c r="L116" s="12"/>
      <c r="M116" s="12"/>
      <c r="N116" s="12"/>
      <c r="O116" s="12" t="s">
        <v>60</v>
      </c>
      <c r="P116" s="12"/>
      <c r="Q116" s="12"/>
      <c r="R116" s="12"/>
      <c r="S116" s="12"/>
      <c r="T116" s="13" t="str">
        <f t="shared" si="5"/>
        <v>通過</v>
      </c>
      <c r="U116" s="13" t="str">
        <f t="shared" si="6"/>
        <v>這裡的會員可以免費使用運動器材</v>
      </c>
      <c r="V116" s="13" t="str">
        <f t="shared" si="7"/>
        <v>這/會員/可以/每/所有/可以/什麼/這/運動/東西/什麼/全部/免費/全部/可以</v>
      </c>
      <c r="W116" s="13" t="str">
        <f t="shared" si="8"/>
        <v>是</v>
      </c>
      <c r="X116" s="13" t="str">
        <f t="shared" si="9"/>
        <v>通過</v>
      </c>
    </row>
    <row r="117" spans="1:24" ht="34" customHeight="1">
      <c r="A117" s="11" t="s">
        <v>729</v>
      </c>
      <c r="B117" s="11" t="s">
        <v>729</v>
      </c>
      <c r="C117" s="11" t="s">
        <v>54</v>
      </c>
      <c r="D117" s="11" t="s">
        <v>730</v>
      </c>
      <c r="E117" s="11" t="s">
        <v>731</v>
      </c>
      <c r="F117" s="11" t="s">
        <v>732</v>
      </c>
      <c r="G117" s="11" t="s">
        <v>58</v>
      </c>
      <c r="H117" s="11" t="s">
        <v>733</v>
      </c>
      <c r="I117" s="11" t="s">
        <v>734</v>
      </c>
      <c r="J117" s="12" t="s">
        <v>8</v>
      </c>
      <c r="K117" s="12"/>
      <c r="L117" s="12"/>
      <c r="M117" s="12"/>
      <c r="N117" s="12"/>
      <c r="O117" s="12" t="s">
        <v>60</v>
      </c>
      <c r="P117" s="12"/>
      <c r="Q117" s="12"/>
      <c r="R117" s="12"/>
      <c r="S117" s="12"/>
      <c r="T117" s="13" t="str">
        <f t="shared" si="5"/>
        <v>通過</v>
      </c>
      <c r="U117" s="13" t="str">
        <f t="shared" si="6"/>
        <v>我拿「冠軍」已經是司空見慣了</v>
      </c>
      <c r="V117" s="13" t="str">
        <f t="shared" si="7"/>
        <v>第一名/拿/我/每/司空見慣</v>
      </c>
      <c r="W117" s="13" t="str">
        <f t="shared" si="8"/>
        <v>是</v>
      </c>
      <c r="X117" s="13" t="str">
        <f t="shared" si="9"/>
        <v>通過</v>
      </c>
    </row>
    <row r="118" spans="1:24" ht="34" customHeight="1">
      <c r="A118" s="11" t="s">
        <v>735</v>
      </c>
      <c r="B118" s="11" t="s">
        <v>735</v>
      </c>
      <c r="C118" s="11" t="s">
        <v>54</v>
      </c>
      <c r="D118" s="11" t="s">
        <v>736</v>
      </c>
      <c r="E118" s="11" t="s">
        <v>737</v>
      </c>
      <c r="F118" s="11" t="s">
        <v>738</v>
      </c>
      <c r="G118" s="11" t="s">
        <v>58</v>
      </c>
      <c r="H118" s="11" t="s">
        <v>739</v>
      </c>
      <c r="I118" s="11" t="s">
        <v>740</v>
      </c>
      <c r="J118" s="12" t="s">
        <v>8</v>
      </c>
      <c r="K118" s="12"/>
      <c r="L118" s="12"/>
      <c r="M118" s="12"/>
      <c r="N118" s="12"/>
      <c r="O118" s="12" t="s">
        <v>60</v>
      </c>
      <c r="P118" s="12"/>
      <c r="Q118" s="12"/>
      <c r="R118" s="12"/>
      <c r="S118" s="12"/>
      <c r="T118" s="13" t="str">
        <f t="shared" si="5"/>
        <v>通過</v>
      </c>
      <c r="U118" s="13" t="str">
        <f t="shared" si="6"/>
        <v>開會時要充分溝通</v>
      </c>
      <c r="V118" s="13" t="str">
        <f t="shared" si="7"/>
        <v>開會/溝通/要/溝通/想/什麼/溝通/要</v>
      </c>
      <c r="W118" s="13" t="str">
        <f t="shared" si="8"/>
        <v>是</v>
      </c>
      <c r="X118" s="13" t="str">
        <f t="shared" si="9"/>
        <v>通過</v>
      </c>
    </row>
    <row r="119" spans="1:24" ht="34" customHeight="1">
      <c r="A119" s="11" t="s">
        <v>741</v>
      </c>
      <c r="B119" s="11" t="s">
        <v>741</v>
      </c>
      <c r="C119" s="11" t="s">
        <v>54</v>
      </c>
      <c r="D119" s="11" t="s">
        <v>742</v>
      </c>
      <c r="E119" s="11" t="s">
        <v>743</v>
      </c>
      <c r="F119" s="11" t="s">
        <v>744</v>
      </c>
      <c r="G119" s="11" t="s">
        <v>58</v>
      </c>
      <c r="H119" s="11" t="s">
        <v>745</v>
      </c>
      <c r="I119" s="11" t="s">
        <v>746</v>
      </c>
      <c r="J119" s="12" t="s">
        <v>8</v>
      </c>
      <c r="K119" s="12"/>
      <c r="L119" s="12"/>
      <c r="M119" s="12"/>
      <c r="N119" s="12"/>
      <c r="O119" s="12" t="s">
        <v>60</v>
      </c>
      <c r="P119" s="12"/>
      <c r="Q119" s="12"/>
      <c r="R119" s="12"/>
      <c r="S119" s="12"/>
      <c r="T119" s="13" t="str">
        <f t="shared" si="5"/>
        <v>通過</v>
      </c>
      <c r="U119" s="13" t="str">
        <f t="shared" si="6"/>
        <v>他通學一年了，身體很累，所以決定住校。</v>
      </c>
      <c r="V119" s="13" t="str">
        <f t="shared" si="7"/>
        <v>他/通學/一年/身體/累/想/一定/住/學校</v>
      </c>
      <c r="W119" s="13" t="str">
        <f t="shared" si="8"/>
        <v>是</v>
      </c>
      <c r="X119" s="13" t="str">
        <f t="shared" si="9"/>
        <v>通過</v>
      </c>
    </row>
    <row r="120" spans="1:24" ht="34" customHeight="1">
      <c r="A120" s="11" t="s">
        <v>747</v>
      </c>
      <c r="B120" s="11" t="s">
        <v>747</v>
      </c>
      <c r="C120" s="11" t="s">
        <v>54</v>
      </c>
      <c r="D120" s="11" t="s">
        <v>748</v>
      </c>
      <c r="E120" s="11" t="s">
        <v>749</v>
      </c>
      <c r="F120" s="11" t="s">
        <v>750</v>
      </c>
      <c r="G120" s="11" t="s">
        <v>58</v>
      </c>
      <c r="H120" s="11" t="s">
        <v>751</v>
      </c>
      <c r="I120" s="11" t="s">
        <v>752</v>
      </c>
      <c r="J120" s="12" t="s">
        <v>8</v>
      </c>
      <c r="K120" s="12"/>
      <c r="L120" s="12"/>
      <c r="M120" s="12"/>
      <c r="N120" s="12"/>
      <c r="O120" s="12" t="s">
        <v>60</v>
      </c>
      <c r="P120" s="12"/>
      <c r="Q120" s="12"/>
      <c r="R120" s="12"/>
      <c r="S120" s="12"/>
      <c r="T120" s="13" t="str">
        <f t="shared" si="5"/>
        <v>通過</v>
      </c>
      <c r="U120" s="13" t="str">
        <f t="shared" si="6"/>
        <v>謝謝貴公司一直以來對我們的信任與支持</v>
      </c>
      <c r="V120" s="13" t="str">
        <f t="shared" si="7"/>
        <v>謝謝/你/公司/你/相信/我們/支持</v>
      </c>
      <c r="W120" s="13" t="str">
        <f t="shared" si="8"/>
        <v>是</v>
      </c>
      <c r="X120" s="13" t="str">
        <f t="shared" si="9"/>
        <v>通過</v>
      </c>
    </row>
    <row r="121" spans="1:24" ht="34" customHeight="1">
      <c r="A121" s="11" t="s">
        <v>753</v>
      </c>
      <c r="B121" s="11" t="s">
        <v>753</v>
      </c>
      <c r="C121" s="11" t="s">
        <v>54</v>
      </c>
      <c r="D121" s="11" t="s">
        <v>754</v>
      </c>
      <c r="E121" s="11" t="s">
        <v>755</v>
      </c>
      <c r="F121" s="11" t="s">
        <v>756</v>
      </c>
      <c r="G121" s="11" t="s">
        <v>58</v>
      </c>
      <c r="H121" s="11" t="s">
        <v>757</v>
      </c>
      <c r="I121" s="11" t="s">
        <v>758</v>
      </c>
      <c r="J121" s="12" t="s">
        <v>8</v>
      </c>
      <c r="K121" s="12"/>
      <c r="L121" s="12"/>
      <c r="M121" s="12"/>
      <c r="N121" s="12"/>
      <c r="O121" s="12" t="s">
        <v>60</v>
      </c>
      <c r="P121" s="12"/>
      <c r="Q121" s="12"/>
      <c r="R121" s="12"/>
      <c r="S121" s="12"/>
      <c r="T121" s="13" t="str">
        <f t="shared" si="5"/>
        <v>通過</v>
      </c>
      <c r="U121" s="13" t="str">
        <f t="shared" si="6"/>
        <v>弟弟和哥哥在比較誰比較高</v>
      </c>
      <c r="V121" s="13" t="str">
        <f t="shared" si="7"/>
        <v>弟弟/哥哥/比較/高/贏/誰</v>
      </c>
      <c r="W121" s="13" t="str">
        <f t="shared" si="8"/>
        <v>是</v>
      </c>
      <c r="X121" s="13" t="str">
        <f t="shared" si="9"/>
        <v>通過</v>
      </c>
    </row>
    <row r="122" spans="1:24" ht="34" customHeight="1">
      <c r="A122" s="11" t="s">
        <v>759</v>
      </c>
      <c r="B122" s="11" t="s">
        <v>759</v>
      </c>
      <c r="C122" s="11" t="s">
        <v>54</v>
      </c>
      <c r="D122" s="11" t="s">
        <v>760</v>
      </c>
      <c r="E122" s="11" t="s">
        <v>761</v>
      </c>
      <c r="F122" s="11" t="s">
        <v>762</v>
      </c>
      <c r="G122" s="11" t="s">
        <v>58</v>
      </c>
      <c r="H122" s="11" t="s">
        <v>763</v>
      </c>
      <c r="I122" s="11" t="s">
        <v>764</v>
      </c>
      <c r="J122" s="12" t="s">
        <v>3253</v>
      </c>
      <c r="K122" s="12"/>
      <c r="L122" s="12"/>
      <c r="M122" s="12"/>
      <c r="N122" s="12"/>
      <c r="O122" s="12" t="s">
        <v>3250</v>
      </c>
      <c r="P122" s="12"/>
      <c r="Q122" s="12"/>
      <c r="R122" s="12"/>
      <c r="S122" s="12"/>
      <c r="T122" s="13" t="str">
        <f t="shared" si="5"/>
        <v>通過</v>
      </c>
      <c r="U122" s="13" t="str">
        <f t="shared" si="6"/>
        <v>弟弟比賽第一名</v>
      </c>
      <c r="V122" s="13" t="str">
        <f t="shared" si="7"/>
        <v>弟弟/比賽/第一名</v>
      </c>
      <c r="W122" s="13" t="str">
        <f t="shared" si="8"/>
        <v>是</v>
      </c>
      <c r="X122" s="13" t="str">
        <f t="shared" si="9"/>
        <v>通過</v>
      </c>
    </row>
    <row r="123" spans="1:24" ht="34" customHeight="1">
      <c r="A123" s="11" t="s">
        <v>765</v>
      </c>
      <c r="B123" s="11" t="s">
        <v>765</v>
      </c>
      <c r="C123" s="11" t="s">
        <v>54</v>
      </c>
      <c r="D123" s="11" t="s">
        <v>766</v>
      </c>
      <c r="E123" s="11" t="s">
        <v>767</v>
      </c>
      <c r="F123" s="11" t="s">
        <v>768</v>
      </c>
      <c r="G123" s="11" t="s">
        <v>58</v>
      </c>
      <c r="H123" s="11" t="s">
        <v>769</v>
      </c>
      <c r="I123" s="11" t="s">
        <v>770</v>
      </c>
      <c r="J123" s="12" t="s">
        <v>8</v>
      </c>
      <c r="K123" s="12"/>
      <c r="L123" s="12"/>
      <c r="M123" s="12"/>
      <c r="N123" s="12"/>
      <c r="O123" s="12" t="s">
        <v>60</v>
      </c>
      <c r="P123" s="12"/>
      <c r="Q123" s="12"/>
      <c r="R123" s="12"/>
      <c r="S123" s="12"/>
      <c r="T123" s="13" t="str">
        <f t="shared" si="5"/>
        <v>通過</v>
      </c>
      <c r="U123" s="13" t="str">
        <f t="shared" si="6"/>
        <v>隨著科技的進步，手機功能也越來越複雜</v>
      </c>
      <c r="V123" s="13" t="str">
        <f t="shared" si="7"/>
        <v>科技/快/進步/手機/種類/這/複雜/手機/複雜/這/複雜</v>
      </c>
      <c r="W123" s="13" t="str">
        <f t="shared" si="8"/>
        <v>是</v>
      </c>
      <c r="X123" s="13" t="str">
        <f t="shared" si="9"/>
        <v>通過</v>
      </c>
    </row>
    <row r="124" spans="1:24" ht="34" customHeight="1">
      <c r="A124" s="11" t="s">
        <v>771</v>
      </c>
      <c r="B124" s="11" t="s">
        <v>771</v>
      </c>
      <c r="C124" s="11" t="s">
        <v>54</v>
      </c>
      <c r="D124" s="11" t="s">
        <v>772</v>
      </c>
      <c r="E124" s="11" t="s">
        <v>773</v>
      </c>
      <c r="F124" s="11" t="s">
        <v>774</v>
      </c>
      <c r="G124" s="11" t="s">
        <v>58</v>
      </c>
      <c r="H124" s="11" t="s">
        <v>775</v>
      </c>
      <c r="I124" s="11" t="s">
        <v>776</v>
      </c>
      <c r="J124" s="12" t="s">
        <v>8</v>
      </c>
      <c r="K124" s="12"/>
      <c r="L124" s="12"/>
      <c r="M124" s="12"/>
      <c r="N124" s="12"/>
      <c r="O124" s="12" t="s">
        <v>60</v>
      </c>
      <c r="P124" s="12"/>
      <c r="Q124" s="12"/>
      <c r="R124" s="12"/>
      <c r="S124" s="12"/>
      <c r="T124" s="13" t="str">
        <f t="shared" si="5"/>
        <v>通過</v>
      </c>
      <c r="U124" s="13" t="str">
        <f t="shared" si="6"/>
        <v>我們要常常關心家人</v>
      </c>
      <c r="V124" s="13" t="str">
        <f t="shared" si="7"/>
        <v>這/家/父母/兄弟/這/他們/常常/關心/要</v>
      </c>
      <c r="W124" s="13" t="str">
        <f t="shared" si="8"/>
        <v>是</v>
      </c>
      <c r="X124" s="13" t="str">
        <f t="shared" si="9"/>
        <v>通過</v>
      </c>
    </row>
    <row r="125" spans="1:24" ht="34" customHeight="1">
      <c r="A125" s="11" t="s">
        <v>777</v>
      </c>
      <c r="B125" s="11" t="s">
        <v>777</v>
      </c>
      <c r="C125" s="11" t="s">
        <v>54</v>
      </c>
      <c r="D125" s="11" t="s">
        <v>778</v>
      </c>
      <c r="E125" s="11" t="s">
        <v>779</v>
      </c>
      <c r="F125" s="11" t="s">
        <v>780</v>
      </c>
      <c r="G125" s="11" t="s">
        <v>58</v>
      </c>
      <c r="H125" s="11" t="s">
        <v>781</v>
      </c>
      <c r="I125" s="11" t="s">
        <v>782</v>
      </c>
      <c r="J125" s="12" t="s">
        <v>3253</v>
      </c>
      <c r="K125" s="12"/>
      <c r="L125" s="12"/>
      <c r="M125" s="12"/>
      <c r="N125" s="12"/>
      <c r="O125" s="12" t="s">
        <v>3250</v>
      </c>
      <c r="P125" s="12"/>
      <c r="Q125" s="12"/>
      <c r="R125" s="12"/>
      <c r="S125" s="12"/>
      <c r="T125" s="13" t="str">
        <f t="shared" si="5"/>
        <v>通過</v>
      </c>
      <c r="U125" s="13" t="str">
        <f t="shared" si="6"/>
        <v>祝你生日快樂</v>
      </c>
      <c r="V125" s="13" t="str">
        <f t="shared" si="7"/>
        <v>祝/蛋糕/快樂</v>
      </c>
      <c r="W125" s="13" t="str">
        <f t="shared" si="8"/>
        <v>是</v>
      </c>
      <c r="X125" s="13" t="str">
        <f t="shared" si="9"/>
        <v>通過</v>
      </c>
    </row>
    <row r="126" spans="1:24" ht="34" customHeight="1">
      <c r="A126" s="11" t="s">
        <v>783</v>
      </c>
      <c r="B126" s="11" t="s">
        <v>783</v>
      </c>
      <c r="C126" s="11" t="s">
        <v>54</v>
      </c>
      <c r="D126" s="11" t="s">
        <v>784</v>
      </c>
      <c r="E126" s="11" t="s">
        <v>785</v>
      </c>
      <c r="F126" s="11" t="s">
        <v>786</v>
      </c>
      <c r="G126" s="11" t="s">
        <v>58</v>
      </c>
      <c r="H126" s="11" t="s">
        <v>787</v>
      </c>
      <c r="I126" s="11" t="s">
        <v>788</v>
      </c>
      <c r="J126" s="12" t="s">
        <v>8</v>
      </c>
      <c r="K126" s="12"/>
      <c r="L126" s="12"/>
      <c r="M126" s="12"/>
      <c r="N126" s="12"/>
      <c r="O126" s="12" t="s">
        <v>60</v>
      </c>
      <c r="P126" s="12"/>
      <c r="Q126" s="12"/>
      <c r="R126" s="12"/>
      <c r="S126" s="12"/>
      <c r="T126" s="13" t="str">
        <f t="shared" si="5"/>
        <v>通過</v>
      </c>
      <c r="U126" s="13" t="str">
        <f t="shared" si="6"/>
        <v>這部電影既愚蠢、無聊又保守</v>
      </c>
      <c r="V126" s="13" t="str">
        <f t="shared" si="7"/>
        <v>這/電影/呆/呆板/守舊</v>
      </c>
      <c r="W126" s="13" t="str">
        <f t="shared" si="8"/>
        <v>是</v>
      </c>
      <c r="X126" s="13" t="str">
        <f t="shared" si="9"/>
        <v>通過</v>
      </c>
    </row>
    <row r="127" spans="1:24" ht="34" customHeight="1">
      <c r="A127" s="11" t="s">
        <v>789</v>
      </c>
      <c r="B127" s="11" t="s">
        <v>789</v>
      </c>
      <c r="C127" s="11" t="s">
        <v>54</v>
      </c>
      <c r="D127" s="11" t="s">
        <v>790</v>
      </c>
      <c r="E127" s="11" t="s">
        <v>791</v>
      </c>
      <c r="F127" s="11" t="s">
        <v>792</v>
      </c>
      <c r="G127" s="11" t="s">
        <v>58</v>
      </c>
      <c r="H127" s="11" t="s">
        <v>793</v>
      </c>
      <c r="I127" s="11" t="s">
        <v>794</v>
      </c>
      <c r="J127" s="12" t="s">
        <v>8</v>
      </c>
      <c r="K127" s="12"/>
      <c r="L127" s="12"/>
      <c r="M127" s="12"/>
      <c r="N127" s="12"/>
      <c r="O127" s="12" t="s">
        <v>60</v>
      </c>
      <c r="P127" s="12"/>
      <c r="Q127" s="12"/>
      <c r="R127" s="12"/>
      <c r="S127" s="12"/>
      <c r="T127" s="13" t="str">
        <f t="shared" si="5"/>
        <v>通過</v>
      </c>
      <c r="U127" s="13" t="str">
        <f t="shared" si="6"/>
        <v>請你下次記得與我聯絡</v>
      </c>
      <c r="V127" s="13" t="str">
        <f t="shared" si="7"/>
        <v>請/你/下/記得/我/聯絡/要</v>
      </c>
      <c r="W127" s="13" t="str">
        <f t="shared" si="8"/>
        <v>是</v>
      </c>
      <c r="X127" s="13" t="str">
        <f t="shared" si="9"/>
        <v>通過</v>
      </c>
    </row>
    <row r="128" spans="1:24" ht="34" customHeight="1">
      <c r="A128" s="11" t="s">
        <v>795</v>
      </c>
      <c r="B128" s="11" t="s">
        <v>795</v>
      </c>
      <c r="C128" s="11" t="s">
        <v>54</v>
      </c>
      <c r="D128" s="11" t="s">
        <v>796</v>
      </c>
      <c r="E128" s="11" t="s">
        <v>797</v>
      </c>
      <c r="F128" s="11" t="s">
        <v>798</v>
      </c>
      <c r="G128" s="11" t="s">
        <v>58</v>
      </c>
      <c r="H128" s="11" t="s">
        <v>799</v>
      </c>
      <c r="I128" s="11" t="s">
        <v>800</v>
      </c>
      <c r="J128" s="12" t="s">
        <v>8</v>
      </c>
      <c r="K128" s="12"/>
      <c r="L128" s="12"/>
      <c r="M128" s="12"/>
      <c r="N128" s="12"/>
      <c r="O128" s="12" t="s">
        <v>60</v>
      </c>
      <c r="P128" s="12"/>
      <c r="Q128" s="12"/>
      <c r="R128" s="12"/>
      <c r="S128" s="12"/>
      <c r="T128" s="13" t="str">
        <f t="shared" si="5"/>
        <v>通過</v>
      </c>
      <c r="U128" s="13" t="str">
        <f t="shared" si="6"/>
        <v>散播疫情假訊息，最高罰300萬元</v>
      </c>
      <c r="V128" s="13" t="str">
        <f t="shared" si="7"/>
        <v>散播/病/擋/傳染/那/假/那/罰/最高/錢/三百/萬</v>
      </c>
      <c r="W128" s="13" t="str">
        <f t="shared" si="8"/>
        <v>是</v>
      </c>
      <c r="X128" s="13" t="str">
        <f t="shared" si="9"/>
        <v>通過</v>
      </c>
    </row>
    <row r="129" spans="1:24" ht="34" customHeight="1">
      <c r="A129" s="11" t="s">
        <v>801</v>
      </c>
      <c r="B129" s="11" t="s">
        <v>801</v>
      </c>
      <c r="C129" s="11" t="s">
        <v>54</v>
      </c>
      <c r="D129" s="11" t="s">
        <v>802</v>
      </c>
      <c r="E129" s="11" t="s">
        <v>803</v>
      </c>
      <c r="F129" s="11" t="s">
        <v>804</v>
      </c>
      <c r="G129" s="11" t="s">
        <v>58</v>
      </c>
      <c r="H129" s="11" t="s">
        <v>805</v>
      </c>
      <c r="I129" s="11" t="s">
        <v>806</v>
      </c>
      <c r="J129" s="12" t="s">
        <v>8</v>
      </c>
      <c r="K129" s="12"/>
      <c r="L129" s="12"/>
      <c r="M129" s="12"/>
      <c r="N129" s="12"/>
      <c r="O129" s="12" t="s">
        <v>60</v>
      </c>
      <c r="P129" s="12"/>
      <c r="Q129" s="12"/>
      <c r="R129" s="12"/>
      <c r="S129" s="12"/>
      <c r="T129" s="13" t="str">
        <f t="shared" si="5"/>
        <v>通過</v>
      </c>
      <c r="U129" s="13" t="str">
        <f t="shared" si="6"/>
        <v>你要仔細看簽約的內容</v>
      </c>
      <c r="V129" s="13" t="str">
        <f t="shared" si="7"/>
        <v>你/寫/簽約/張/你/閱讀/細/閱讀/要</v>
      </c>
      <c r="W129" s="13" t="str">
        <f t="shared" si="8"/>
        <v>是</v>
      </c>
      <c r="X129" s="13" t="str">
        <f t="shared" si="9"/>
        <v>通過</v>
      </c>
    </row>
    <row r="130" spans="1:24" ht="34" customHeight="1">
      <c r="A130" s="11" t="s">
        <v>807</v>
      </c>
      <c r="B130" s="11" t="s">
        <v>807</v>
      </c>
      <c r="C130" s="11" t="s">
        <v>54</v>
      </c>
      <c r="D130" s="11" t="s">
        <v>808</v>
      </c>
      <c r="E130" s="11" t="s">
        <v>809</v>
      </c>
      <c r="F130" s="11" t="s">
        <v>810</v>
      </c>
      <c r="G130" s="11" t="s">
        <v>58</v>
      </c>
      <c r="H130" s="11" t="s">
        <v>811</v>
      </c>
      <c r="I130" s="11" t="s">
        <v>812</v>
      </c>
      <c r="J130" s="12" t="s">
        <v>8</v>
      </c>
      <c r="K130" s="12"/>
      <c r="L130" s="12"/>
      <c r="M130" s="12"/>
      <c r="N130" s="12"/>
      <c r="O130" s="12" t="s">
        <v>60</v>
      </c>
      <c r="P130" s="12"/>
      <c r="Q130" s="12"/>
      <c r="R130" s="12"/>
      <c r="S130" s="12"/>
      <c r="T130" s="13" t="str">
        <f t="shared" ref="T130:T193" si="10">IF(J130="","未填",IF(J130="需複審",IF(OR(P130="",P130="仍需複審"),"待複審",P130),J130))</f>
        <v>通過</v>
      </c>
      <c r="U130" s="13" t="str">
        <f t="shared" ref="U130:U193" si="11">IF(T130="通過",E130,IF(T130="需更正",IF(J130="需複審",IF(Q130="",E130,Q130),IF(L130="",E130,L130)),""))</f>
        <v>你做事一定要考慮清楚，不要反反覆覆</v>
      </c>
      <c r="V130" s="13" t="str">
        <f t="shared" ref="V130:V193" si="12">IF(T130="通過",F130,IF(T130="需更正",IF(J130="需複審",R130,M130),""))</f>
        <v>你/做/事/什麼/你/想/清楚/再/一定/出爾反爾/不要</v>
      </c>
      <c r="W130" s="13" t="str">
        <f t="shared" ref="W130:W193" si="13">IF(AND(OR(T130="通過",AND(T130="需更正",V130&lt;&gt;"")),X130="通過"),"是","否")</f>
        <v>是</v>
      </c>
      <c r="X130" s="13" t="str">
        <f t="shared" ref="X130:X193" si="14">IF(J130="","未填",IF(AND(J130="需複審",OR(P130="",P130="仍需複審")),"待複審",IF(OR(AND(J130="需更正",K130=""),AND(J130="需更正",M130=""),AND(J130="需更正",N130=""),AND(J130="排除",OR(K130="",N130="")),AND(J130="需複審",P130="需更正",R130=""),AND(J130="需複審",P130="需更正",S130=""),AND(J130="需複審",P130="排除",S130="")),"錯誤：請補齊必填欄位","通過")))</f>
        <v>通過</v>
      </c>
    </row>
    <row r="131" spans="1:24" ht="34" customHeight="1">
      <c r="A131" s="11" t="s">
        <v>813</v>
      </c>
      <c r="B131" s="11" t="s">
        <v>813</v>
      </c>
      <c r="C131" s="11" t="s">
        <v>54</v>
      </c>
      <c r="D131" s="11" t="s">
        <v>814</v>
      </c>
      <c r="E131" s="11" t="s">
        <v>815</v>
      </c>
      <c r="F131" s="11" t="s">
        <v>816</v>
      </c>
      <c r="G131" s="11" t="s">
        <v>58</v>
      </c>
      <c r="H131" s="11" t="s">
        <v>817</v>
      </c>
      <c r="I131" s="11" t="s">
        <v>818</v>
      </c>
      <c r="J131" s="12" t="s">
        <v>8</v>
      </c>
      <c r="K131" s="12"/>
      <c r="L131" s="12"/>
      <c r="M131" s="12"/>
      <c r="N131" s="12"/>
      <c r="O131" s="12" t="s">
        <v>60</v>
      </c>
      <c r="P131" s="12"/>
      <c r="Q131" s="12"/>
      <c r="R131" s="12"/>
      <c r="S131" s="12"/>
      <c r="T131" s="13" t="str">
        <f t="shared" si="10"/>
        <v>通過</v>
      </c>
      <c r="U131" s="13" t="str">
        <f t="shared" si="11"/>
        <v>這個答案正確</v>
      </c>
      <c r="V131" s="13" t="str">
        <f t="shared" si="12"/>
        <v>這/答案/正確</v>
      </c>
      <c r="W131" s="13" t="str">
        <f t="shared" si="13"/>
        <v>是</v>
      </c>
      <c r="X131" s="13" t="str">
        <f t="shared" si="14"/>
        <v>通過</v>
      </c>
    </row>
    <row r="132" spans="1:24" ht="34" customHeight="1">
      <c r="A132" s="11" t="s">
        <v>819</v>
      </c>
      <c r="B132" s="11" t="s">
        <v>819</v>
      </c>
      <c r="C132" s="11" t="s">
        <v>54</v>
      </c>
      <c r="D132" s="11" t="s">
        <v>820</v>
      </c>
      <c r="E132" s="11" t="s">
        <v>821</v>
      </c>
      <c r="F132" s="11" t="s">
        <v>822</v>
      </c>
      <c r="G132" s="11" t="s">
        <v>58</v>
      </c>
      <c r="H132" s="11" t="s">
        <v>823</v>
      </c>
      <c r="I132" s="11" t="s">
        <v>824</v>
      </c>
      <c r="J132" s="12" t="s">
        <v>8</v>
      </c>
      <c r="K132" s="12"/>
      <c r="L132" s="12"/>
      <c r="M132" s="12"/>
      <c r="N132" s="12"/>
      <c r="O132" s="12" t="s">
        <v>60</v>
      </c>
      <c r="P132" s="12"/>
      <c r="Q132" s="12"/>
      <c r="R132" s="12"/>
      <c r="S132" s="12"/>
      <c r="T132" s="13" t="str">
        <f t="shared" si="10"/>
        <v>通過</v>
      </c>
      <c r="U132" s="13" t="str">
        <f t="shared" si="11"/>
        <v>這個市長不腐敗貪婪，很公正</v>
      </c>
      <c r="V132" s="13" t="str">
        <f t="shared" si="12"/>
        <v>這/市長/他/貪污/貪心/沒有/他/公/正/好</v>
      </c>
      <c r="W132" s="13" t="str">
        <f t="shared" si="13"/>
        <v>是</v>
      </c>
      <c r="X132" s="13" t="str">
        <f t="shared" si="14"/>
        <v>通過</v>
      </c>
    </row>
    <row r="133" spans="1:24" ht="34" customHeight="1">
      <c r="A133" s="11" t="s">
        <v>825</v>
      </c>
      <c r="B133" s="11" t="s">
        <v>825</v>
      </c>
      <c r="C133" s="11" t="s">
        <v>54</v>
      </c>
      <c r="D133" s="11" t="s">
        <v>826</v>
      </c>
      <c r="E133" s="11" t="s">
        <v>827</v>
      </c>
      <c r="F133" s="11" t="s">
        <v>828</v>
      </c>
      <c r="G133" s="11" t="s">
        <v>58</v>
      </c>
      <c r="H133" s="11" t="s">
        <v>829</v>
      </c>
      <c r="I133" s="11" t="s">
        <v>830</v>
      </c>
      <c r="J133" s="12" t="s">
        <v>8</v>
      </c>
      <c r="K133" s="12"/>
      <c r="L133" s="12"/>
      <c r="M133" s="12"/>
      <c r="N133" s="12"/>
      <c r="O133" s="12" t="s">
        <v>60</v>
      </c>
      <c r="P133" s="12"/>
      <c r="Q133" s="12"/>
      <c r="R133" s="12"/>
      <c r="S133" s="12"/>
      <c r="T133" s="13" t="str">
        <f t="shared" si="10"/>
        <v>通過</v>
      </c>
      <c r="U133" s="13" t="str">
        <f t="shared" si="11"/>
        <v>咳嗽要記得吃藥</v>
      </c>
      <c r="V133" s="13" t="str">
        <f t="shared" si="12"/>
        <v>咳嗽/藥/吃/記得</v>
      </c>
      <c r="W133" s="13" t="str">
        <f t="shared" si="13"/>
        <v>是</v>
      </c>
      <c r="X133" s="13" t="str">
        <f t="shared" si="14"/>
        <v>通過</v>
      </c>
    </row>
    <row r="134" spans="1:24" ht="34" customHeight="1">
      <c r="A134" s="11" t="s">
        <v>831</v>
      </c>
      <c r="B134" s="11" t="s">
        <v>831</v>
      </c>
      <c r="C134" s="11" t="s">
        <v>54</v>
      </c>
      <c r="D134" s="11" t="s">
        <v>832</v>
      </c>
      <c r="E134" s="11" t="s">
        <v>833</v>
      </c>
      <c r="F134" s="11" t="s">
        <v>834</v>
      </c>
      <c r="G134" s="11" t="s">
        <v>58</v>
      </c>
      <c r="H134" s="11" t="s">
        <v>835</v>
      </c>
      <c r="I134" s="11" t="s">
        <v>836</v>
      </c>
      <c r="J134" s="12" t="s">
        <v>8</v>
      </c>
      <c r="K134" s="12"/>
      <c r="L134" s="12"/>
      <c r="M134" s="12"/>
      <c r="N134" s="12"/>
      <c r="O134" s="12" t="s">
        <v>60</v>
      </c>
      <c r="P134" s="12"/>
      <c r="Q134" s="12"/>
      <c r="R134" s="12"/>
      <c r="S134" s="12"/>
      <c r="T134" s="13" t="str">
        <f t="shared" si="10"/>
        <v>通過</v>
      </c>
      <c r="U134" s="13" t="str">
        <f t="shared" si="11"/>
        <v>國與國之間的關係，瞬息萬變</v>
      </c>
      <c r="V134" s="13" t="str">
        <f t="shared" si="12"/>
        <v>國/國/兩個/關係/忽然/變化</v>
      </c>
      <c r="W134" s="13" t="str">
        <f t="shared" si="13"/>
        <v>是</v>
      </c>
      <c r="X134" s="13" t="str">
        <f t="shared" si="14"/>
        <v>通過</v>
      </c>
    </row>
    <row r="135" spans="1:24" ht="34" customHeight="1">
      <c r="A135" s="11" t="s">
        <v>837</v>
      </c>
      <c r="B135" s="11" t="s">
        <v>837</v>
      </c>
      <c r="C135" s="11" t="s">
        <v>54</v>
      </c>
      <c r="D135" s="11" t="s">
        <v>838</v>
      </c>
      <c r="E135" s="11" t="s">
        <v>839</v>
      </c>
      <c r="F135" s="11" t="s">
        <v>840</v>
      </c>
      <c r="G135" s="11" t="s">
        <v>58</v>
      </c>
      <c r="H135" s="11" t="s">
        <v>841</v>
      </c>
      <c r="I135" s="11" t="s">
        <v>842</v>
      </c>
      <c r="J135" s="12" t="s">
        <v>3253</v>
      </c>
      <c r="K135" s="12"/>
      <c r="L135" s="12"/>
      <c r="M135" s="12"/>
      <c r="N135" s="12"/>
      <c r="O135" s="12" t="s">
        <v>3250</v>
      </c>
      <c r="P135" s="12"/>
      <c r="Q135" s="12"/>
      <c r="R135" s="12"/>
      <c r="S135" s="12"/>
      <c r="T135" s="13" t="str">
        <f t="shared" si="10"/>
        <v>通過</v>
      </c>
      <c r="U135" s="13" t="str">
        <f t="shared" si="11"/>
        <v>他最喜歡音樂課</v>
      </c>
      <c r="V135" s="13" t="str">
        <f t="shared" si="12"/>
        <v>唱歌/指揮/課/他/喜歡</v>
      </c>
      <c r="W135" s="13" t="str">
        <f t="shared" si="13"/>
        <v>是</v>
      </c>
      <c r="X135" s="13" t="str">
        <f t="shared" si="14"/>
        <v>通過</v>
      </c>
    </row>
    <row r="136" spans="1:24" ht="34" customHeight="1">
      <c r="A136" s="11" t="s">
        <v>843</v>
      </c>
      <c r="B136" s="11" t="s">
        <v>843</v>
      </c>
      <c r="C136" s="11" t="s">
        <v>54</v>
      </c>
      <c r="D136" s="11" t="s">
        <v>844</v>
      </c>
      <c r="E136" s="11" t="s">
        <v>845</v>
      </c>
      <c r="F136" s="11" t="s">
        <v>846</v>
      </c>
      <c r="G136" s="11" t="s">
        <v>58</v>
      </c>
      <c r="H136" s="11" t="s">
        <v>847</v>
      </c>
      <c r="I136" s="11" t="s">
        <v>848</v>
      </c>
      <c r="J136" s="12" t="s">
        <v>8</v>
      </c>
      <c r="K136" s="12"/>
      <c r="L136" s="12"/>
      <c r="M136" s="12"/>
      <c r="N136" s="12"/>
      <c r="O136" s="12" t="s">
        <v>60</v>
      </c>
      <c r="P136" s="12"/>
      <c r="Q136" s="12"/>
      <c r="R136" s="12"/>
      <c r="S136" s="12"/>
      <c r="T136" s="13" t="str">
        <f t="shared" si="10"/>
        <v>通過</v>
      </c>
      <c r="U136" s="13" t="str">
        <f t="shared" si="11"/>
        <v>毀約可不是賠錢就能了事</v>
      </c>
      <c r="V136" s="13" t="str">
        <f t="shared" si="12"/>
        <v>你/契約/你/失約/賠錢/不</v>
      </c>
      <c r="W136" s="13" t="str">
        <f t="shared" si="13"/>
        <v>是</v>
      </c>
      <c r="X136" s="13" t="str">
        <f t="shared" si="14"/>
        <v>通過</v>
      </c>
    </row>
    <row r="137" spans="1:24" ht="34" customHeight="1">
      <c r="A137" s="11" t="s">
        <v>849</v>
      </c>
      <c r="B137" s="11" t="s">
        <v>849</v>
      </c>
      <c r="C137" s="11" t="s">
        <v>54</v>
      </c>
      <c r="D137" s="11" t="s">
        <v>844</v>
      </c>
      <c r="E137" s="11" t="s">
        <v>850</v>
      </c>
      <c r="F137" s="11" t="s">
        <v>851</v>
      </c>
      <c r="G137" s="11" t="s">
        <v>58</v>
      </c>
      <c r="H137" s="11" t="s">
        <v>852</v>
      </c>
      <c r="I137" s="11" t="s">
        <v>853</v>
      </c>
      <c r="J137" s="12" t="s">
        <v>8</v>
      </c>
      <c r="K137" s="12"/>
      <c r="L137" s="12"/>
      <c r="M137" s="12"/>
      <c r="N137" s="12"/>
      <c r="O137" s="12" t="s">
        <v>60</v>
      </c>
      <c r="P137" s="12"/>
      <c r="Q137" s="12"/>
      <c r="R137" s="12"/>
      <c r="S137" s="12"/>
      <c r="T137" s="13" t="str">
        <f t="shared" si="10"/>
        <v>通過</v>
      </c>
      <c r="U137" s="13" t="str">
        <f t="shared" si="11"/>
        <v>簽訂契約時要先仔細檢查條文</v>
      </c>
      <c r="V137" s="13" t="str">
        <f t="shared" si="12"/>
        <v>契約/張/契約/要/什麼/閱讀/細/要</v>
      </c>
      <c r="W137" s="13" t="str">
        <f t="shared" si="13"/>
        <v>是</v>
      </c>
      <c r="X137" s="13" t="str">
        <f t="shared" si="14"/>
        <v>通過</v>
      </c>
    </row>
    <row r="138" spans="1:24" ht="34" customHeight="1">
      <c r="A138" s="11" t="s">
        <v>854</v>
      </c>
      <c r="B138" s="11" t="s">
        <v>854</v>
      </c>
      <c r="C138" s="11" t="s">
        <v>54</v>
      </c>
      <c r="D138" s="11" t="s">
        <v>855</v>
      </c>
      <c r="E138" s="11" t="s">
        <v>856</v>
      </c>
      <c r="F138" s="11" t="s">
        <v>857</v>
      </c>
      <c r="G138" s="11" t="s">
        <v>58</v>
      </c>
      <c r="H138" s="11" t="s">
        <v>858</v>
      </c>
      <c r="I138" s="11" t="s">
        <v>859</v>
      </c>
      <c r="J138" s="12" t="s">
        <v>8</v>
      </c>
      <c r="K138" s="12"/>
      <c r="L138" s="12"/>
      <c r="M138" s="12"/>
      <c r="N138" s="12"/>
      <c r="O138" s="12" t="s">
        <v>60</v>
      </c>
      <c r="P138" s="12"/>
      <c r="Q138" s="12"/>
      <c r="R138" s="12"/>
      <c r="S138" s="12"/>
      <c r="T138" s="13" t="str">
        <f t="shared" si="10"/>
        <v>通過</v>
      </c>
      <c r="U138" s="13" t="str">
        <f t="shared" si="11"/>
        <v>做人不要太貪心，否則會因小失大</v>
      </c>
      <c r="V138" s="13" t="str">
        <f t="shared" si="12"/>
        <v>做/人/貪心/不/不然/浪費/怕</v>
      </c>
      <c r="W138" s="13" t="str">
        <f t="shared" si="13"/>
        <v>是</v>
      </c>
      <c r="X138" s="13" t="str">
        <f t="shared" si="14"/>
        <v>通過</v>
      </c>
    </row>
    <row r="139" spans="1:24" ht="34" customHeight="1">
      <c r="A139" s="11" t="s">
        <v>860</v>
      </c>
      <c r="B139" s="11" t="s">
        <v>860</v>
      </c>
      <c r="C139" s="11" t="s">
        <v>54</v>
      </c>
      <c r="D139" s="11" t="s">
        <v>861</v>
      </c>
      <c r="E139" s="11" t="s">
        <v>862</v>
      </c>
      <c r="F139" s="11" t="s">
        <v>863</v>
      </c>
      <c r="G139" s="11" t="s">
        <v>58</v>
      </c>
      <c r="H139" s="11" t="s">
        <v>864</v>
      </c>
      <c r="I139" s="11" t="s">
        <v>865</v>
      </c>
      <c r="J139" s="12" t="s">
        <v>8</v>
      </c>
      <c r="K139" s="12"/>
      <c r="L139" s="12"/>
      <c r="M139" s="12"/>
      <c r="N139" s="12"/>
      <c r="O139" s="12" t="s">
        <v>60</v>
      </c>
      <c r="P139" s="12"/>
      <c r="Q139" s="12"/>
      <c r="R139" s="12"/>
      <c r="S139" s="12"/>
      <c r="T139" s="13" t="str">
        <f t="shared" si="10"/>
        <v>通過</v>
      </c>
      <c r="U139" s="13" t="str">
        <f t="shared" si="11"/>
        <v>牛可以幫忙耕田</v>
      </c>
      <c r="V139" s="13" t="str">
        <f t="shared" si="12"/>
        <v>牛/可以/幫忙/什麼/那/耕田/田/耕田/可以</v>
      </c>
      <c r="W139" s="13" t="str">
        <f t="shared" si="13"/>
        <v>是</v>
      </c>
      <c r="X139" s="13" t="str">
        <f t="shared" si="14"/>
        <v>通過</v>
      </c>
    </row>
    <row r="140" spans="1:24" ht="34" customHeight="1">
      <c r="A140" s="11" t="s">
        <v>866</v>
      </c>
      <c r="B140" s="11" t="s">
        <v>866</v>
      </c>
      <c r="C140" s="11" t="s">
        <v>54</v>
      </c>
      <c r="D140" s="11" t="s">
        <v>867</v>
      </c>
      <c r="E140" s="11" t="s">
        <v>868</v>
      </c>
      <c r="F140" s="11" t="s">
        <v>869</v>
      </c>
      <c r="G140" s="11" t="s">
        <v>58</v>
      </c>
      <c r="H140" s="11" t="s">
        <v>870</v>
      </c>
      <c r="I140" s="11" t="s">
        <v>871</v>
      </c>
      <c r="J140" s="12" t="s">
        <v>8</v>
      </c>
      <c r="K140" s="12"/>
      <c r="L140" s="12"/>
      <c r="M140" s="12"/>
      <c r="N140" s="12"/>
      <c r="O140" s="12" t="s">
        <v>60</v>
      </c>
      <c r="P140" s="12"/>
      <c r="Q140" s="12"/>
      <c r="R140" s="12"/>
      <c r="S140" s="12"/>
      <c r="T140" s="13" t="str">
        <f t="shared" si="10"/>
        <v>通過</v>
      </c>
      <c r="U140" s="13" t="str">
        <f t="shared" si="11"/>
        <v>他又遲到了，令我發狂</v>
      </c>
      <c r="V140" s="13" t="str">
        <f t="shared" si="12"/>
        <v>他/遲到/老是/積怨/發狂</v>
      </c>
      <c r="W140" s="13" t="str">
        <f t="shared" si="13"/>
        <v>是</v>
      </c>
      <c r="X140" s="13" t="str">
        <f t="shared" si="14"/>
        <v>通過</v>
      </c>
    </row>
    <row r="141" spans="1:24" ht="34" customHeight="1">
      <c r="A141" s="11" t="s">
        <v>872</v>
      </c>
      <c r="B141" s="11" t="s">
        <v>872</v>
      </c>
      <c r="C141" s="11" t="s">
        <v>54</v>
      </c>
      <c r="D141" s="11" t="s">
        <v>873</v>
      </c>
      <c r="E141" s="11" t="s">
        <v>874</v>
      </c>
      <c r="F141" s="11" t="s">
        <v>875</v>
      </c>
      <c r="G141" s="11" t="s">
        <v>58</v>
      </c>
      <c r="H141" s="11" t="s">
        <v>876</v>
      </c>
      <c r="I141" s="11" t="s">
        <v>877</v>
      </c>
      <c r="J141" s="12" t="s">
        <v>8</v>
      </c>
      <c r="K141" s="12"/>
      <c r="L141" s="12"/>
      <c r="M141" s="12"/>
      <c r="N141" s="12"/>
      <c r="O141" s="12" t="s">
        <v>60</v>
      </c>
      <c r="P141" s="12"/>
      <c r="Q141" s="12"/>
      <c r="R141" s="12"/>
      <c r="S141" s="12"/>
      <c r="T141" s="13" t="str">
        <f t="shared" si="10"/>
        <v>通過</v>
      </c>
      <c r="U141" s="13" t="str">
        <f t="shared" si="11"/>
        <v>他是一位負責的刑警</v>
      </c>
      <c r="V141" s="13" t="str">
        <f t="shared" si="12"/>
        <v>他/刑警/警察/他/工作/事情/負責/好</v>
      </c>
      <c r="W141" s="13" t="str">
        <f t="shared" si="13"/>
        <v>是</v>
      </c>
      <c r="X141" s="13" t="str">
        <f t="shared" si="14"/>
        <v>通過</v>
      </c>
    </row>
    <row r="142" spans="1:24" ht="34" customHeight="1">
      <c r="A142" s="11" t="s">
        <v>878</v>
      </c>
      <c r="B142" s="11" t="s">
        <v>878</v>
      </c>
      <c r="C142" s="11" t="s">
        <v>54</v>
      </c>
      <c r="D142" s="11" t="s">
        <v>879</v>
      </c>
      <c r="E142" s="11" t="s">
        <v>880</v>
      </c>
      <c r="F142" s="11" t="s">
        <v>881</v>
      </c>
      <c r="G142" s="11" t="s">
        <v>58</v>
      </c>
      <c r="H142" s="11" t="s">
        <v>882</v>
      </c>
      <c r="I142" s="11" t="s">
        <v>883</v>
      </c>
      <c r="J142" s="12" t="s">
        <v>8</v>
      </c>
      <c r="K142" s="12"/>
      <c r="L142" s="12"/>
      <c r="M142" s="12"/>
      <c r="N142" s="12"/>
      <c r="O142" s="12" t="s">
        <v>60</v>
      </c>
      <c r="P142" s="12"/>
      <c r="Q142" s="12"/>
      <c r="R142" s="12"/>
      <c r="S142" s="12"/>
      <c r="T142" s="13" t="str">
        <f t="shared" si="10"/>
        <v>通過</v>
      </c>
      <c r="U142" s="13" t="str">
        <f t="shared" si="11"/>
        <v>遭人批評的時候，要先冷靜的自我反省</v>
      </c>
      <c r="V142" s="13" t="str">
        <f t="shared" si="12"/>
        <v>他們/批評/我/生氣/不要/冷靜/想/自己/看/看自己/自己</v>
      </c>
      <c r="W142" s="13" t="str">
        <f t="shared" si="13"/>
        <v>是</v>
      </c>
      <c r="X142" s="13" t="str">
        <f t="shared" si="14"/>
        <v>通過</v>
      </c>
    </row>
    <row r="143" spans="1:24" ht="34" customHeight="1">
      <c r="A143" s="11" t="s">
        <v>884</v>
      </c>
      <c r="B143" s="11" t="s">
        <v>884</v>
      </c>
      <c r="C143" s="11" t="s">
        <v>54</v>
      </c>
      <c r="D143" s="11" t="s">
        <v>885</v>
      </c>
      <c r="E143" s="11" t="s">
        <v>886</v>
      </c>
      <c r="F143" s="11" t="s">
        <v>887</v>
      </c>
      <c r="G143" s="11" t="s">
        <v>58</v>
      </c>
      <c r="H143" s="11" t="s">
        <v>888</v>
      </c>
      <c r="I143" s="11" t="s">
        <v>889</v>
      </c>
      <c r="J143" s="12" t="s">
        <v>8</v>
      </c>
      <c r="K143" s="12"/>
      <c r="L143" s="12"/>
      <c r="M143" s="12"/>
      <c r="N143" s="12"/>
      <c r="O143" s="12" t="s">
        <v>60</v>
      </c>
      <c r="P143" s="12"/>
      <c r="Q143" s="12"/>
      <c r="R143" s="12"/>
      <c r="S143" s="12"/>
      <c r="T143" s="13" t="str">
        <f t="shared" si="10"/>
        <v>通過</v>
      </c>
      <c r="U143" s="13" t="str">
        <f t="shared" si="11"/>
        <v>過馬路要停下來兩邊看看</v>
      </c>
      <c r="V143" s="13" t="str">
        <f t="shared" si="12"/>
        <v>你/路/走過/等/等/左見/右見</v>
      </c>
      <c r="W143" s="13" t="str">
        <f t="shared" si="13"/>
        <v>是</v>
      </c>
      <c r="X143" s="13" t="str">
        <f t="shared" si="14"/>
        <v>通過</v>
      </c>
    </row>
    <row r="144" spans="1:24" ht="34" customHeight="1">
      <c r="A144" s="11" t="s">
        <v>890</v>
      </c>
      <c r="B144" s="11" t="s">
        <v>890</v>
      </c>
      <c r="C144" s="11" t="s">
        <v>54</v>
      </c>
      <c r="D144" s="11" t="s">
        <v>891</v>
      </c>
      <c r="E144" s="11" t="s">
        <v>892</v>
      </c>
      <c r="F144" s="11" t="s">
        <v>893</v>
      </c>
      <c r="G144" s="11" t="s">
        <v>58</v>
      </c>
      <c r="H144" s="11" t="s">
        <v>894</v>
      </c>
      <c r="I144" s="11" t="s">
        <v>895</v>
      </c>
      <c r="J144" s="12" t="s">
        <v>8</v>
      </c>
      <c r="K144" s="12"/>
      <c r="L144" s="12"/>
      <c r="M144" s="12"/>
      <c r="N144" s="12"/>
      <c r="O144" s="12" t="s">
        <v>60</v>
      </c>
      <c r="P144" s="12"/>
      <c r="Q144" s="12"/>
      <c r="R144" s="12"/>
      <c r="S144" s="12"/>
      <c r="T144" s="13" t="str">
        <f t="shared" si="10"/>
        <v>通過</v>
      </c>
      <c r="U144" s="13" t="str">
        <f t="shared" si="11"/>
        <v>那家店湧入了許多人潮</v>
      </c>
      <c r="V144" s="13" t="str">
        <f t="shared" si="12"/>
        <v>那/商店/人/湧入</v>
      </c>
      <c r="W144" s="13" t="str">
        <f t="shared" si="13"/>
        <v>是</v>
      </c>
      <c r="X144" s="13" t="str">
        <f t="shared" si="14"/>
        <v>通過</v>
      </c>
    </row>
    <row r="145" spans="1:24" ht="34" customHeight="1">
      <c r="A145" s="11" t="s">
        <v>896</v>
      </c>
      <c r="B145" s="11" t="s">
        <v>896</v>
      </c>
      <c r="C145" s="11" t="s">
        <v>54</v>
      </c>
      <c r="D145" s="11" t="s">
        <v>897</v>
      </c>
      <c r="E145" s="11" t="s">
        <v>898</v>
      </c>
      <c r="F145" s="11" t="s">
        <v>899</v>
      </c>
      <c r="G145" s="11" t="s">
        <v>58</v>
      </c>
      <c r="H145" s="11" t="s">
        <v>900</v>
      </c>
      <c r="I145" s="11" t="s">
        <v>901</v>
      </c>
      <c r="J145" s="12" t="s">
        <v>8</v>
      </c>
      <c r="K145" s="12"/>
      <c r="L145" s="12"/>
      <c r="M145" s="12"/>
      <c r="N145" s="12"/>
      <c r="O145" s="12" t="s">
        <v>60</v>
      </c>
      <c r="P145" s="12"/>
      <c r="Q145" s="12"/>
      <c r="R145" s="12"/>
      <c r="S145" s="12"/>
      <c r="T145" s="13" t="str">
        <f t="shared" si="10"/>
        <v>通過</v>
      </c>
      <c r="U145" s="13" t="str">
        <f t="shared" si="11"/>
        <v>早上搭公車的人很多很擠</v>
      </c>
      <c r="V145" s="13" t="str">
        <f t="shared" si="12"/>
        <v>早上/公車/裡面/人/多/擠</v>
      </c>
      <c r="W145" s="13" t="str">
        <f t="shared" si="13"/>
        <v>是</v>
      </c>
      <c r="X145" s="13" t="str">
        <f t="shared" si="14"/>
        <v>通過</v>
      </c>
    </row>
    <row r="146" spans="1:24" ht="34" customHeight="1">
      <c r="A146" s="11" t="s">
        <v>902</v>
      </c>
      <c r="B146" s="11" t="s">
        <v>902</v>
      </c>
      <c r="C146" s="11" t="s">
        <v>54</v>
      </c>
      <c r="D146" s="11" t="s">
        <v>903</v>
      </c>
      <c r="E146" s="11" t="s">
        <v>904</v>
      </c>
      <c r="F146" s="11" t="s">
        <v>905</v>
      </c>
      <c r="G146" s="11" t="s">
        <v>58</v>
      </c>
      <c r="H146" s="11" t="s">
        <v>906</v>
      </c>
      <c r="I146" s="11" t="s">
        <v>907</v>
      </c>
      <c r="J146" s="12" t="s">
        <v>3253</v>
      </c>
      <c r="K146" s="12"/>
      <c r="L146" s="12"/>
      <c r="M146" s="12"/>
      <c r="N146" s="12"/>
      <c r="O146" s="12" t="s">
        <v>3250</v>
      </c>
      <c r="P146" s="12"/>
      <c r="Q146" s="12"/>
      <c r="R146" s="12"/>
      <c r="S146" s="12"/>
      <c r="T146" s="13" t="str">
        <f t="shared" si="10"/>
        <v>通過</v>
      </c>
      <c r="U146" s="13" t="str">
        <f t="shared" si="11"/>
        <v>他哭了</v>
      </c>
      <c r="V146" s="13" t="str">
        <f t="shared" si="12"/>
        <v>他/哭</v>
      </c>
      <c r="W146" s="13" t="str">
        <f t="shared" si="13"/>
        <v>是</v>
      </c>
      <c r="X146" s="13" t="str">
        <f t="shared" si="14"/>
        <v>通過</v>
      </c>
    </row>
    <row r="147" spans="1:24" ht="34" customHeight="1">
      <c r="A147" s="11" t="s">
        <v>908</v>
      </c>
      <c r="B147" s="11" t="s">
        <v>908</v>
      </c>
      <c r="C147" s="11" t="s">
        <v>54</v>
      </c>
      <c r="D147" s="11" t="s">
        <v>909</v>
      </c>
      <c r="E147" s="11" t="s">
        <v>910</v>
      </c>
      <c r="F147" s="11" t="s">
        <v>911</v>
      </c>
      <c r="G147" s="11" t="s">
        <v>58</v>
      </c>
      <c r="H147" s="11" t="s">
        <v>912</v>
      </c>
      <c r="I147" s="11" t="s">
        <v>913</v>
      </c>
      <c r="J147" s="12" t="s">
        <v>8</v>
      </c>
      <c r="K147" s="12"/>
      <c r="L147" s="12"/>
      <c r="M147" s="12"/>
      <c r="N147" s="12"/>
      <c r="O147" s="12" t="s">
        <v>60</v>
      </c>
      <c r="P147" s="12"/>
      <c r="Q147" s="12"/>
      <c r="R147" s="12"/>
      <c r="S147" s="12"/>
      <c r="T147" s="13" t="str">
        <f t="shared" si="10"/>
        <v>通過</v>
      </c>
      <c r="U147" s="13" t="str">
        <f t="shared" si="11"/>
        <v>孩子的教育不能等</v>
      </c>
      <c r="V147" s="13" t="str">
        <f t="shared" si="12"/>
        <v>孩子/屬於他們/教育/培養/等/等/不能</v>
      </c>
      <c r="W147" s="13" t="str">
        <f t="shared" si="13"/>
        <v>是</v>
      </c>
      <c r="X147" s="13" t="str">
        <f t="shared" si="14"/>
        <v>通過</v>
      </c>
    </row>
    <row r="148" spans="1:24" ht="34" customHeight="1">
      <c r="A148" s="11" t="s">
        <v>914</v>
      </c>
      <c r="B148" s="11" t="s">
        <v>914</v>
      </c>
      <c r="C148" s="11" t="s">
        <v>54</v>
      </c>
      <c r="D148" s="11" t="s">
        <v>915</v>
      </c>
      <c r="E148" s="11" t="s">
        <v>916</v>
      </c>
      <c r="F148" s="11" t="s">
        <v>917</v>
      </c>
      <c r="G148" s="11" t="s">
        <v>58</v>
      </c>
      <c r="H148" s="11" t="s">
        <v>918</v>
      </c>
      <c r="I148" s="11" t="s">
        <v>919</v>
      </c>
      <c r="J148" s="12" t="s">
        <v>8</v>
      </c>
      <c r="K148" s="12"/>
      <c r="L148" s="12"/>
      <c r="M148" s="12"/>
      <c r="N148" s="12"/>
      <c r="O148" s="12" t="s">
        <v>60</v>
      </c>
      <c r="P148" s="12"/>
      <c r="Q148" s="12"/>
      <c r="R148" s="12"/>
      <c r="S148" s="12"/>
      <c r="T148" s="13" t="str">
        <f t="shared" si="10"/>
        <v>通過</v>
      </c>
      <c r="U148" s="13" t="str">
        <f t="shared" si="11"/>
        <v>我第一次出國，對於所看到的一 切事物都很好奇</v>
      </c>
      <c r="V148" s="13" t="str">
        <f t="shared" si="12"/>
        <v>我/搭飛機/第一次/我/對於/見/好奇/見/好奇</v>
      </c>
      <c r="W148" s="13" t="str">
        <f t="shared" si="13"/>
        <v>是</v>
      </c>
      <c r="X148" s="13" t="str">
        <f t="shared" si="14"/>
        <v>通過</v>
      </c>
    </row>
    <row r="149" spans="1:24" ht="34" customHeight="1">
      <c r="A149" s="11" t="s">
        <v>920</v>
      </c>
      <c r="B149" s="11" t="s">
        <v>920</v>
      </c>
      <c r="C149" s="11" t="s">
        <v>54</v>
      </c>
      <c r="D149" s="11" t="s">
        <v>921</v>
      </c>
      <c r="E149" s="11" t="s">
        <v>922</v>
      </c>
      <c r="F149" s="11" t="s">
        <v>923</v>
      </c>
      <c r="G149" s="11" t="s">
        <v>58</v>
      </c>
      <c r="H149" s="11" t="s">
        <v>924</v>
      </c>
      <c r="I149" s="11" t="s">
        <v>925</v>
      </c>
      <c r="J149" s="12" t="s">
        <v>8</v>
      </c>
      <c r="K149" s="12"/>
      <c r="L149" s="12"/>
      <c r="M149" s="12"/>
      <c r="N149" s="12"/>
      <c r="O149" s="12" t="s">
        <v>60</v>
      </c>
      <c r="P149" s="12"/>
      <c r="Q149" s="12"/>
      <c r="R149" s="12"/>
      <c r="S149" s="12"/>
      <c r="T149" s="13" t="str">
        <f t="shared" si="10"/>
        <v>通過</v>
      </c>
      <c r="U149" s="13" t="str">
        <f t="shared" si="11"/>
        <v>剛剛接到學校電話，兒子又逃學了</v>
      </c>
      <c r="V149" s="13" t="str">
        <f t="shared" si="12"/>
        <v>剛剛/接電話/學校/接電話/我/兒子/逃/逃學/老是</v>
      </c>
      <c r="W149" s="13" t="str">
        <f t="shared" si="13"/>
        <v>是</v>
      </c>
      <c r="X149" s="13" t="str">
        <f t="shared" si="14"/>
        <v>通過</v>
      </c>
    </row>
    <row r="150" spans="1:24" ht="34" customHeight="1">
      <c r="A150" s="11" t="s">
        <v>926</v>
      </c>
      <c r="B150" s="11" t="s">
        <v>926</v>
      </c>
      <c r="C150" s="11" t="s">
        <v>54</v>
      </c>
      <c r="D150" s="11" t="s">
        <v>927</v>
      </c>
      <c r="E150" s="11" t="s">
        <v>928</v>
      </c>
      <c r="F150" s="11" t="s">
        <v>929</v>
      </c>
      <c r="G150" s="11" t="s">
        <v>58</v>
      </c>
      <c r="H150" s="11" t="s">
        <v>930</v>
      </c>
      <c r="I150" s="11" t="s">
        <v>931</v>
      </c>
      <c r="J150" s="12" t="s">
        <v>8</v>
      </c>
      <c r="K150" s="12"/>
      <c r="L150" s="12"/>
      <c r="M150" s="12"/>
      <c r="N150" s="12"/>
      <c r="O150" s="12" t="s">
        <v>60</v>
      </c>
      <c r="P150" s="12"/>
      <c r="Q150" s="12"/>
      <c r="R150" s="12"/>
      <c r="S150" s="12"/>
      <c r="T150" s="13" t="str">
        <f t="shared" si="10"/>
        <v>通過</v>
      </c>
      <c r="U150" s="13" t="str">
        <f t="shared" si="11"/>
        <v>等車應該依序排隊，不可插隊</v>
      </c>
      <c r="V150" s="13" t="str">
        <f t="shared" si="12"/>
        <v>那/車/這/等/這/人/輪流/排隊/插隊/不行</v>
      </c>
      <c r="W150" s="13" t="str">
        <f t="shared" si="13"/>
        <v>是</v>
      </c>
      <c r="X150" s="13" t="str">
        <f t="shared" si="14"/>
        <v>通過</v>
      </c>
    </row>
    <row r="151" spans="1:24" ht="34" customHeight="1">
      <c r="A151" s="11" t="s">
        <v>932</v>
      </c>
      <c r="B151" s="11" t="s">
        <v>932</v>
      </c>
      <c r="C151" s="11" t="s">
        <v>54</v>
      </c>
      <c r="D151" s="11" t="s">
        <v>933</v>
      </c>
      <c r="E151" s="11" t="s">
        <v>934</v>
      </c>
      <c r="F151" s="11" t="s">
        <v>935</v>
      </c>
      <c r="G151" s="11" t="s">
        <v>58</v>
      </c>
      <c r="H151" s="11" t="s">
        <v>936</v>
      </c>
      <c r="I151" s="11" t="s">
        <v>937</v>
      </c>
      <c r="J151" s="12" t="s">
        <v>8</v>
      </c>
      <c r="K151" s="12"/>
      <c r="L151" s="12"/>
      <c r="M151" s="12"/>
      <c r="N151" s="12"/>
      <c r="O151" s="12" t="s">
        <v>60</v>
      </c>
      <c r="P151" s="12"/>
      <c r="Q151" s="12"/>
      <c r="R151" s="12"/>
      <c r="S151" s="12"/>
      <c r="T151" s="13" t="str">
        <f t="shared" si="10"/>
        <v>通過</v>
      </c>
      <c r="U151" s="13" t="str">
        <f t="shared" si="11"/>
        <v>每年換季期間，百貨公司都會降價</v>
      </c>
      <c r="V151" s="13" t="str">
        <f t="shared" si="12"/>
        <v>每/年/衣服/換/什麼/短袖/長袖/換/時間/期/這/百貨公司/這/會/降價</v>
      </c>
      <c r="W151" s="13" t="str">
        <f t="shared" si="13"/>
        <v>是</v>
      </c>
      <c r="X151" s="13" t="str">
        <f t="shared" si="14"/>
        <v>通過</v>
      </c>
    </row>
    <row r="152" spans="1:24" ht="34" customHeight="1">
      <c r="A152" s="11" t="s">
        <v>938</v>
      </c>
      <c r="B152" s="11" t="s">
        <v>938</v>
      </c>
      <c r="C152" s="11" t="s">
        <v>54</v>
      </c>
      <c r="D152" s="11" t="s">
        <v>939</v>
      </c>
      <c r="E152" s="11" t="s">
        <v>940</v>
      </c>
      <c r="F152" s="11" t="s">
        <v>941</v>
      </c>
      <c r="G152" s="11" t="s">
        <v>58</v>
      </c>
      <c r="H152" s="11" t="s">
        <v>942</v>
      </c>
      <c r="I152" s="11" t="s">
        <v>943</v>
      </c>
      <c r="J152" s="12" t="s">
        <v>3253</v>
      </c>
      <c r="K152" s="12"/>
      <c r="L152" s="12"/>
      <c r="M152" s="12"/>
      <c r="N152" s="12"/>
      <c r="O152" s="12" t="s">
        <v>3250</v>
      </c>
      <c r="P152" s="12"/>
      <c r="Q152" s="12"/>
      <c r="R152" s="12"/>
      <c r="S152" s="12"/>
      <c r="T152" s="13" t="str">
        <f t="shared" si="10"/>
        <v>通過</v>
      </c>
      <c r="U152" s="13" t="str">
        <f t="shared" si="11"/>
        <v>跳舞是好的運動</v>
      </c>
      <c r="V152" s="13" t="str">
        <f t="shared" si="12"/>
        <v>跳舞/這/運動/好</v>
      </c>
      <c r="W152" s="13" t="str">
        <f t="shared" si="13"/>
        <v>是</v>
      </c>
      <c r="X152" s="13" t="str">
        <f t="shared" si="14"/>
        <v>通過</v>
      </c>
    </row>
    <row r="153" spans="1:24" ht="34" customHeight="1">
      <c r="A153" s="11" t="s">
        <v>944</v>
      </c>
      <c r="B153" s="11" t="s">
        <v>944</v>
      </c>
      <c r="C153" s="11" t="s">
        <v>54</v>
      </c>
      <c r="D153" s="11" t="s">
        <v>945</v>
      </c>
      <c r="E153" s="11" t="s">
        <v>946</v>
      </c>
      <c r="F153" s="11" t="s">
        <v>947</v>
      </c>
      <c r="G153" s="11" t="s">
        <v>58</v>
      </c>
      <c r="H153" s="11" t="s">
        <v>948</v>
      </c>
      <c r="I153" s="11" t="s">
        <v>949</v>
      </c>
      <c r="J153" s="12" t="s">
        <v>8</v>
      </c>
      <c r="K153" s="12"/>
      <c r="L153" s="12"/>
      <c r="M153" s="12"/>
      <c r="N153" s="12"/>
      <c r="O153" s="12" t="s">
        <v>60</v>
      </c>
      <c r="P153" s="12"/>
      <c r="Q153" s="12"/>
      <c r="R153" s="12"/>
      <c r="S153" s="12"/>
      <c r="T153" s="13" t="str">
        <f t="shared" si="10"/>
        <v>通過</v>
      </c>
      <c r="U153" s="13" t="str">
        <f t="shared" si="11"/>
        <v>他與我辯論，往往勝利</v>
      </c>
      <c r="V153" s="13" t="str">
        <f t="shared" si="12"/>
        <v>他/我/辯論/我/輸/他/辯論/他/贏</v>
      </c>
      <c r="W153" s="13" t="str">
        <f t="shared" si="13"/>
        <v>是</v>
      </c>
      <c r="X153" s="13" t="str">
        <f t="shared" si="14"/>
        <v>通過</v>
      </c>
    </row>
    <row r="154" spans="1:24" ht="34" customHeight="1">
      <c r="A154" s="11" t="s">
        <v>950</v>
      </c>
      <c r="B154" s="11" t="s">
        <v>950</v>
      </c>
      <c r="C154" s="11" t="s">
        <v>54</v>
      </c>
      <c r="D154" s="11" t="s">
        <v>951</v>
      </c>
      <c r="E154" s="11" t="s">
        <v>952</v>
      </c>
      <c r="F154" s="11" t="s">
        <v>953</v>
      </c>
      <c r="G154" s="11" t="s">
        <v>58</v>
      </c>
      <c r="H154" s="11" t="s">
        <v>954</v>
      </c>
      <c r="I154" s="11" t="s">
        <v>955</v>
      </c>
      <c r="J154" s="12" t="s">
        <v>8</v>
      </c>
      <c r="K154" s="12"/>
      <c r="L154" s="12"/>
      <c r="M154" s="12"/>
      <c r="N154" s="12"/>
      <c r="O154" s="12" t="s">
        <v>60</v>
      </c>
      <c r="P154" s="12"/>
      <c r="Q154" s="12"/>
      <c r="R154" s="12"/>
      <c r="S154" s="12"/>
      <c r="T154" s="13" t="str">
        <f t="shared" si="10"/>
        <v>通過</v>
      </c>
      <c r="U154" s="13" t="str">
        <f t="shared" si="11"/>
        <v>保持口腔乾淨是預防蛀牙最好的方法</v>
      </c>
      <c r="V154" s="13" t="str">
        <f t="shared" si="12"/>
        <v>你/口/乾淨/好/什麼/蛀牙/刷牙/髒/黏/不行/刷牙/乾淨/蟲/不會</v>
      </c>
      <c r="W154" s="13" t="str">
        <f t="shared" si="13"/>
        <v>是</v>
      </c>
      <c r="X154" s="13" t="str">
        <f t="shared" si="14"/>
        <v>通過</v>
      </c>
    </row>
    <row r="155" spans="1:24" ht="34" customHeight="1">
      <c r="A155" s="11" t="s">
        <v>956</v>
      </c>
      <c r="B155" s="11" t="s">
        <v>956</v>
      </c>
      <c r="C155" s="11" t="s">
        <v>54</v>
      </c>
      <c r="D155" s="11" t="s">
        <v>957</v>
      </c>
      <c r="E155" s="11" t="s">
        <v>958</v>
      </c>
      <c r="F155" s="11" t="s">
        <v>959</v>
      </c>
      <c r="G155" s="11" t="s">
        <v>58</v>
      </c>
      <c r="H155" s="11" t="s">
        <v>960</v>
      </c>
      <c r="I155" s="11" t="s">
        <v>961</v>
      </c>
      <c r="J155" s="12" t="s">
        <v>3253</v>
      </c>
      <c r="K155" s="12"/>
      <c r="L155" s="12"/>
      <c r="M155" s="12"/>
      <c r="N155" s="12"/>
      <c r="O155" s="12" t="s">
        <v>3250</v>
      </c>
      <c r="P155" s="12"/>
      <c r="Q155" s="12"/>
      <c r="R155" s="12"/>
      <c r="S155" s="12"/>
      <c r="T155" s="13" t="str">
        <f t="shared" si="10"/>
        <v>通過</v>
      </c>
      <c r="U155" s="13" t="str">
        <f t="shared" si="11"/>
        <v>這個洞穴很深</v>
      </c>
      <c r="V155" s="13" t="str">
        <f t="shared" si="12"/>
        <v>這/洞/很/深</v>
      </c>
      <c r="W155" s="13" t="str">
        <f t="shared" si="13"/>
        <v>是</v>
      </c>
      <c r="X155" s="13" t="str">
        <f t="shared" si="14"/>
        <v>通過</v>
      </c>
    </row>
    <row r="156" spans="1:24" ht="34" customHeight="1">
      <c r="A156" s="11" t="s">
        <v>962</v>
      </c>
      <c r="B156" s="11" t="s">
        <v>962</v>
      </c>
      <c r="C156" s="11" t="s">
        <v>54</v>
      </c>
      <c r="D156" s="11" t="s">
        <v>963</v>
      </c>
      <c r="E156" s="11" t="s">
        <v>964</v>
      </c>
      <c r="F156" s="11" t="s">
        <v>965</v>
      </c>
      <c r="G156" s="11" t="s">
        <v>58</v>
      </c>
      <c r="H156" s="11" t="s">
        <v>966</v>
      </c>
      <c r="I156" s="11" t="s">
        <v>967</v>
      </c>
      <c r="J156" s="12" t="s">
        <v>8</v>
      </c>
      <c r="K156" s="12"/>
      <c r="L156" s="12"/>
      <c r="M156" s="12"/>
      <c r="N156" s="12"/>
      <c r="O156" s="12" t="s">
        <v>60</v>
      </c>
      <c r="P156" s="12"/>
      <c r="Q156" s="12"/>
      <c r="R156" s="12"/>
      <c r="S156" s="12"/>
      <c r="T156" s="13" t="str">
        <f t="shared" si="10"/>
        <v>通過</v>
      </c>
      <c r="U156" s="13" t="str">
        <f t="shared" si="11"/>
        <v>我決定努力學習手語</v>
      </c>
      <c r="V156" s="13" t="str">
        <f t="shared" si="12"/>
        <v>手語/學/我/決定/努力</v>
      </c>
      <c r="W156" s="13" t="str">
        <f t="shared" si="13"/>
        <v>是</v>
      </c>
      <c r="X156" s="13" t="str">
        <f t="shared" si="14"/>
        <v>通過</v>
      </c>
    </row>
    <row r="157" spans="1:24" ht="34" customHeight="1">
      <c r="A157" s="11" t="s">
        <v>968</v>
      </c>
      <c r="B157" s="11" t="s">
        <v>968</v>
      </c>
      <c r="C157" s="11" t="s">
        <v>54</v>
      </c>
      <c r="D157" s="11" t="s">
        <v>963</v>
      </c>
      <c r="E157" s="11" t="s">
        <v>969</v>
      </c>
      <c r="F157" s="11" t="s">
        <v>970</v>
      </c>
      <c r="G157" s="11" t="s">
        <v>58</v>
      </c>
      <c r="H157" s="11" t="s">
        <v>971</v>
      </c>
      <c r="I157" s="11" t="s">
        <v>972</v>
      </c>
      <c r="J157" s="12" t="s">
        <v>8</v>
      </c>
      <c r="K157" s="12"/>
      <c r="L157" s="12"/>
      <c r="M157" s="12"/>
      <c r="N157" s="12"/>
      <c r="O157" s="12" t="s">
        <v>60</v>
      </c>
      <c r="P157" s="12"/>
      <c r="Q157" s="12"/>
      <c r="R157" s="12"/>
      <c r="S157" s="12"/>
      <c r="T157" s="13" t="str">
        <f t="shared" si="10"/>
        <v>通過</v>
      </c>
      <c r="U157" s="13" t="str">
        <f t="shared" si="11"/>
        <v>你一定要幫我</v>
      </c>
      <c r="V157" s="13" t="str">
        <f t="shared" si="12"/>
        <v>你/幫我/一定</v>
      </c>
      <c r="W157" s="13" t="str">
        <f t="shared" si="13"/>
        <v>是</v>
      </c>
      <c r="X157" s="13" t="str">
        <f t="shared" si="14"/>
        <v>通過</v>
      </c>
    </row>
    <row r="158" spans="1:24" ht="34" customHeight="1">
      <c r="A158" s="11" t="s">
        <v>973</v>
      </c>
      <c r="B158" s="11" t="s">
        <v>973</v>
      </c>
      <c r="C158" s="11" t="s">
        <v>54</v>
      </c>
      <c r="D158" s="11" t="s">
        <v>963</v>
      </c>
      <c r="E158" s="11" t="s">
        <v>974</v>
      </c>
      <c r="F158" s="11" t="s">
        <v>975</v>
      </c>
      <c r="G158" s="11" t="s">
        <v>58</v>
      </c>
      <c r="H158" s="11" t="s">
        <v>976</v>
      </c>
      <c r="I158" s="11" t="s">
        <v>977</v>
      </c>
      <c r="J158" s="12" t="s">
        <v>3253</v>
      </c>
      <c r="K158" s="12"/>
      <c r="L158" s="12"/>
      <c r="M158" s="12"/>
      <c r="N158" s="12"/>
      <c r="O158" s="12" t="s">
        <v>3250</v>
      </c>
      <c r="P158" s="12"/>
      <c r="Q158" s="12"/>
      <c r="R158" s="12"/>
      <c r="S158" s="12"/>
      <c r="T158" s="13" t="str">
        <f t="shared" si="10"/>
        <v>通過</v>
      </c>
      <c r="U158" s="13" t="str">
        <f t="shared" si="11"/>
        <v>他想一定要去美國讀書</v>
      </c>
      <c r="V158" s="13" t="str">
        <f t="shared" si="12"/>
        <v>他/想/一定/去/美國/讀書</v>
      </c>
      <c r="W158" s="13" t="str">
        <f t="shared" si="13"/>
        <v>是</v>
      </c>
      <c r="X158" s="13" t="str">
        <f t="shared" si="14"/>
        <v>通過</v>
      </c>
    </row>
    <row r="159" spans="1:24" ht="34" customHeight="1">
      <c r="A159" s="11" t="s">
        <v>978</v>
      </c>
      <c r="B159" s="11" t="s">
        <v>978</v>
      </c>
      <c r="C159" s="11" t="s">
        <v>54</v>
      </c>
      <c r="D159" s="11" t="s">
        <v>979</v>
      </c>
      <c r="E159" s="11" t="s">
        <v>980</v>
      </c>
      <c r="F159" s="11" t="s">
        <v>981</v>
      </c>
      <c r="G159" s="11" t="s">
        <v>58</v>
      </c>
      <c r="H159" s="11" t="s">
        <v>982</v>
      </c>
      <c r="I159" s="11" t="s">
        <v>983</v>
      </c>
      <c r="J159" s="12" t="s">
        <v>8</v>
      </c>
      <c r="K159" s="12"/>
      <c r="L159" s="12"/>
      <c r="M159" s="12"/>
      <c r="N159" s="12"/>
      <c r="O159" s="12" t="s">
        <v>60</v>
      </c>
      <c r="P159" s="12"/>
      <c r="Q159" s="12"/>
      <c r="R159" s="12"/>
      <c r="S159" s="12"/>
      <c r="T159" s="13" t="str">
        <f t="shared" si="10"/>
        <v>通過</v>
      </c>
      <c r="U159" s="13" t="str">
        <f t="shared" si="11"/>
        <v>台灣製造的機器品質很好</v>
      </c>
      <c r="V159" s="13" t="str">
        <f t="shared" si="12"/>
        <v>台灣/有/機器/建設/各式各樣/品/程度/特別/好</v>
      </c>
      <c r="W159" s="13" t="str">
        <f t="shared" si="13"/>
        <v>是</v>
      </c>
      <c r="X159" s="13" t="str">
        <f t="shared" si="14"/>
        <v>通過</v>
      </c>
    </row>
    <row r="160" spans="1:24" ht="34" customHeight="1">
      <c r="A160" s="11" t="s">
        <v>984</v>
      </c>
      <c r="B160" s="11" t="s">
        <v>984</v>
      </c>
      <c r="C160" s="11" t="s">
        <v>54</v>
      </c>
      <c r="D160" s="11" t="s">
        <v>985</v>
      </c>
      <c r="E160" s="11" t="s">
        <v>986</v>
      </c>
      <c r="F160" s="11" t="s">
        <v>987</v>
      </c>
      <c r="G160" s="11" t="s">
        <v>58</v>
      </c>
      <c r="H160" s="11" t="s">
        <v>988</v>
      </c>
      <c r="I160" s="11" t="s">
        <v>989</v>
      </c>
      <c r="J160" s="12" t="s">
        <v>3253</v>
      </c>
      <c r="K160" s="12"/>
      <c r="L160" s="12"/>
      <c r="M160" s="12"/>
      <c r="N160" s="12"/>
      <c r="O160" s="12" t="s">
        <v>3250</v>
      </c>
      <c r="P160" s="12"/>
      <c r="Q160" s="12"/>
      <c r="R160" s="12"/>
      <c r="S160" s="12"/>
      <c r="T160" s="13" t="str">
        <f t="shared" si="10"/>
        <v>通過</v>
      </c>
      <c r="U160" s="13" t="str">
        <f t="shared" si="11"/>
        <v>他送我一張卡片</v>
      </c>
      <c r="V160" s="13" t="str">
        <f t="shared" si="12"/>
        <v>卡片/他/送我</v>
      </c>
      <c r="W160" s="13" t="str">
        <f t="shared" si="13"/>
        <v>是</v>
      </c>
      <c r="X160" s="13" t="str">
        <f t="shared" si="14"/>
        <v>通過</v>
      </c>
    </row>
    <row r="161" spans="1:24" ht="34" customHeight="1">
      <c r="A161" s="11" t="s">
        <v>990</v>
      </c>
      <c r="B161" s="11" t="s">
        <v>990</v>
      </c>
      <c r="C161" s="11" t="s">
        <v>54</v>
      </c>
      <c r="D161" s="11" t="s">
        <v>991</v>
      </c>
      <c r="E161" s="11" t="s">
        <v>992</v>
      </c>
      <c r="F161" s="11" t="s">
        <v>993</v>
      </c>
      <c r="G161" s="11" t="s">
        <v>58</v>
      </c>
      <c r="H161" s="11" t="s">
        <v>994</v>
      </c>
      <c r="I161" s="11" t="s">
        <v>995</v>
      </c>
      <c r="J161" s="12" t="s">
        <v>8</v>
      </c>
      <c r="K161" s="12"/>
      <c r="L161" s="12"/>
      <c r="M161" s="12"/>
      <c r="N161" s="12"/>
      <c r="O161" s="12" t="s">
        <v>60</v>
      </c>
      <c r="P161" s="12"/>
      <c r="Q161" s="12"/>
      <c r="R161" s="12"/>
      <c r="S161" s="12"/>
      <c r="T161" s="13" t="str">
        <f t="shared" si="10"/>
        <v>通過</v>
      </c>
      <c r="U161" s="13" t="str">
        <f t="shared" si="11"/>
        <v>這座橋的外型設計很好看又有創意</v>
      </c>
      <c r="V161" s="13" t="str">
        <f t="shared" si="12"/>
        <v>這/橋/這/設計/樣子/見/好/創作/好</v>
      </c>
      <c r="W161" s="13" t="str">
        <f t="shared" si="13"/>
        <v>是</v>
      </c>
      <c r="X161" s="13" t="str">
        <f t="shared" si="14"/>
        <v>通過</v>
      </c>
    </row>
    <row r="162" spans="1:24" ht="34" customHeight="1">
      <c r="A162" s="11" t="s">
        <v>996</v>
      </c>
      <c r="B162" s="11" t="s">
        <v>996</v>
      </c>
      <c r="C162" s="11" t="s">
        <v>54</v>
      </c>
      <c r="D162" s="11" t="s">
        <v>997</v>
      </c>
      <c r="E162" s="11" t="s">
        <v>998</v>
      </c>
      <c r="F162" s="11" t="s">
        <v>999</v>
      </c>
      <c r="G162" s="11" t="s">
        <v>58</v>
      </c>
      <c r="H162" s="11" t="s">
        <v>1000</v>
      </c>
      <c r="I162" s="11" t="s">
        <v>1001</v>
      </c>
      <c r="J162" s="12" t="s">
        <v>8</v>
      </c>
      <c r="K162" s="12"/>
      <c r="L162" s="12"/>
      <c r="M162" s="12"/>
      <c r="N162" s="12"/>
      <c r="O162" s="12" t="s">
        <v>60</v>
      </c>
      <c r="P162" s="12"/>
      <c r="Q162" s="12"/>
      <c r="R162" s="12"/>
      <c r="S162" s="12"/>
      <c r="T162" s="13" t="str">
        <f t="shared" si="10"/>
        <v>通過</v>
      </c>
      <c r="U162" s="13" t="str">
        <f t="shared" si="11"/>
        <v>不懂的字要勤查字典</v>
      </c>
      <c r="V162" s="13" t="str">
        <f t="shared" si="12"/>
        <v>字/一竅不通/自己/這/檢查/字典/要</v>
      </c>
      <c r="W162" s="13" t="str">
        <f t="shared" si="13"/>
        <v>是</v>
      </c>
      <c r="X162" s="13" t="str">
        <f t="shared" si="14"/>
        <v>通過</v>
      </c>
    </row>
    <row r="163" spans="1:24" ht="34" customHeight="1">
      <c r="A163" s="11" t="s">
        <v>1002</v>
      </c>
      <c r="B163" s="11" t="s">
        <v>1002</v>
      </c>
      <c r="C163" s="11" t="s">
        <v>54</v>
      </c>
      <c r="D163" s="11" t="s">
        <v>1003</v>
      </c>
      <c r="E163" s="11" t="s">
        <v>1004</v>
      </c>
      <c r="F163" s="11" t="s">
        <v>1005</v>
      </c>
      <c r="G163" s="11" t="s">
        <v>58</v>
      </c>
      <c r="H163" s="11" t="s">
        <v>1006</v>
      </c>
      <c r="I163" s="11" t="s">
        <v>1007</v>
      </c>
      <c r="J163" s="12" t="s">
        <v>3253</v>
      </c>
      <c r="K163" s="12"/>
      <c r="L163" s="12"/>
      <c r="M163" s="12"/>
      <c r="N163" s="12"/>
      <c r="O163" s="12" t="s">
        <v>3250</v>
      </c>
      <c r="P163" s="12"/>
      <c r="Q163" s="12"/>
      <c r="R163" s="12"/>
      <c r="S163" s="12"/>
      <c r="T163" s="13" t="str">
        <f t="shared" si="10"/>
        <v>通過</v>
      </c>
      <c r="U163" s="13" t="str">
        <f t="shared" si="11"/>
        <v>我的狗昨天死了</v>
      </c>
      <c r="V163" s="13" t="str">
        <f t="shared" si="12"/>
        <v>昨天/我/狗/死</v>
      </c>
      <c r="W163" s="13" t="str">
        <f t="shared" si="13"/>
        <v>是</v>
      </c>
      <c r="X163" s="13" t="str">
        <f t="shared" si="14"/>
        <v>通過</v>
      </c>
    </row>
    <row r="164" spans="1:24" ht="34" customHeight="1">
      <c r="A164" s="11" t="s">
        <v>1008</v>
      </c>
      <c r="B164" s="11" t="s">
        <v>1008</v>
      </c>
      <c r="C164" s="11" t="s">
        <v>54</v>
      </c>
      <c r="D164" s="11" t="s">
        <v>1009</v>
      </c>
      <c r="E164" s="11" t="s">
        <v>3274</v>
      </c>
      <c r="F164" s="11" t="s">
        <v>1010</v>
      </c>
      <c r="G164" s="11" t="s">
        <v>58</v>
      </c>
      <c r="H164" s="11" t="s">
        <v>1011</v>
      </c>
      <c r="I164" s="11" t="s">
        <v>1012</v>
      </c>
      <c r="J164" s="12" t="s">
        <v>8</v>
      </c>
      <c r="K164" s="12"/>
      <c r="L164" s="12"/>
      <c r="M164" s="12"/>
      <c r="N164" s="12"/>
      <c r="O164" s="12" t="s">
        <v>60</v>
      </c>
      <c r="P164" s="12"/>
      <c r="Q164" s="12"/>
      <c r="R164" s="12"/>
      <c r="S164" s="12"/>
      <c r="T164" s="13" t="str">
        <f t="shared" si="10"/>
        <v>通過</v>
      </c>
      <c r="U164" s="13" t="str">
        <f t="shared" si="11"/>
        <v>我們的飲食習慣和國外不一樣</v>
      </c>
      <c r="V164" s="13" t="str">
        <f t="shared" si="12"/>
        <v>我們/吃飯/飲料/習慣/四處/國外/不一樣</v>
      </c>
      <c r="W164" s="13" t="str">
        <f t="shared" si="13"/>
        <v>是</v>
      </c>
      <c r="X164" s="13" t="str">
        <f t="shared" si="14"/>
        <v>通過</v>
      </c>
    </row>
    <row r="165" spans="1:24" ht="34" customHeight="1">
      <c r="A165" s="11" t="s">
        <v>1013</v>
      </c>
      <c r="B165" s="11" t="s">
        <v>1013</v>
      </c>
      <c r="C165" s="11" t="s">
        <v>54</v>
      </c>
      <c r="D165" s="11" t="s">
        <v>1014</v>
      </c>
      <c r="E165" s="11" t="s">
        <v>1015</v>
      </c>
      <c r="F165" s="11" t="s">
        <v>1016</v>
      </c>
      <c r="G165" s="11" t="s">
        <v>58</v>
      </c>
      <c r="H165" s="11" t="s">
        <v>1017</v>
      </c>
      <c r="I165" s="11" t="s">
        <v>1018</v>
      </c>
      <c r="J165" s="12" t="s">
        <v>3253</v>
      </c>
      <c r="K165" s="12"/>
      <c r="L165" s="12"/>
      <c r="M165" s="12"/>
      <c r="N165" s="12"/>
      <c r="O165" s="12" t="s">
        <v>3250</v>
      </c>
      <c r="P165" s="12"/>
      <c r="Q165" s="12"/>
      <c r="R165" s="12"/>
      <c r="S165" s="12"/>
      <c r="T165" s="13" t="str">
        <f t="shared" si="10"/>
        <v>通過</v>
      </c>
      <c r="U165" s="13" t="str">
        <f t="shared" si="11"/>
        <v>遇到困難時，我可以幫你</v>
      </c>
      <c r="V165" s="13" t="str">
        <f t="shared" si="12"/>
        <v>碰見/困難/有/我/幫你/可以</v>
      </c>
      <c r="W165" s="13" t="str">
        <f t="shared" si="13"/>
        <v>是</v>
      </c>
      <c r="X165" s="13" t="str">
        <f t="shared" si="14"/>
        <v>通過</v>
      </c>
    </row>
    <row r="166" spans="1:24" ht="34" customHeight="1">
      <c r="A166" s="11" t="s">
        <v>1019</v>
      </c>
      <c r="B166" s="11" t="s">
        <v>1019</v>
      </c>
      <c r="C166" s="11" t="s">
        <v>54</v>
      </c>
      <c r="D166" s="11" t="s">
        <v>1014</v>
      </c>
      <c r="E166" s="11" t="s">
        <v>1020</v>
      </c>
      <c r="F166" s="11" t="s">
        <v>1021</v>
      </c>
      <c r="G166" s="11" t="s">
        <v>58</v>
      </c>
      <c r="H166" s="11" t="s">
        <v>1022</v>
      </c>
      <c r="I166" s="11" t="s">
        <v>1023</v>
      </c>
      <c r="J166" s="12" t="s">
        <v>3253</v>
      </c>
      <c r="K166" s="12"/>
      <c r="L166" s="12"/>
      <c r="M166" s="12"/>
      <c r="N166" s="12"/>
      <c r="O166" s="12" t="s">
        <v>3250</v>
      </c>
      <c r="P166" s="12"/>
      <c r="Q166" s="12"/>
      <c r="R166" s="12"/>
      <c r="S166" s="12"/>
      <c r="T166" s="13" t="str">
        <f t="shared" si="10"/>
        <v>通過</v>
      </c>
      <c r="U166" s="13" t="str">
        <f t="shared" si="11"/>
        <v>昨天的考試很難</v>
      </c>
      <c r="V166" s="13" t="str">
        <f t="shared" si="12"/>
        <v>昨天/考試/難</v>
      </c>
      <c r="W166" s="13" t="str">
        <f t="shared" si="13"/>
        <v>是</v>
      </c>
      <c r="X166" s="13" t="str">
        <f t="shared" si="14"/>
        <v>通過</v>
      </c>
    </row>
    <row r="167" spans="1:24" ht="34" customHeight="1">
      <c r="A167" s="11" t="s">
        <v>1024</v>
      </c>
      <c r="B167" s="11" t="s">
        <v>1024</v>
      </c>
      <c r="C167" s="11" t="s">
        <v>54</v>
      </c>
      <c r="D167" s="11" t="s">
        <v>1025</v>
      </c>
      <c r="E167" s="11" t="s">
        <v>3275</v>
      </c>
      <c r="F167" s="11" t="s">
        <v>1026</v>
      </c>
      <c r="G167" s="11" t="s">
        <v>58</v>
      </c>
      <c r="H167" s="11" t="s">
        <v>1027</v>
      </c>
      <c r="I167" s="11" t="s">
        <v>1028</v>
      </c>
      <c r="J167" s="12" t="s">
        <v>8</v>
      </c>
      <c r="K167" s="12"/>
      <c r="L167" s="12"/>
      <c r="M167" s="12"/>
      <c r="N167" s="12"/>
      <c r="O167" s="12" t="s">
        <v>60</v>
      </c>
      <c r="P167" s="12"/>
      <c r="Q167" s="12"/>
      <c r="R167" s="12"/>
      <c r="S167" s="12"/>
      <c r="T167" s="13" t="str">
        <f t="shared" si="10"/>
        <v>通過</v>
      </c>
      <c r="U167" s="13" t="str">
        <f t="shared" si="11"/>
        <v>這種食物容易消化，適合老人吃。</v>
      </c>
      <c r="V167" s="13" t="str">
        <f t="shared" si="12"/>
        <v>這/東西/吃/消化/簡單/這/老人/老/吃/適合/這</v>
      </c>
      <c r="W167" s="13" t="str">
        <f t="shared" si="13"/>
        <v>是</v>
      </c>
      <c r="X167" s="13" t="str">
        <f t="shared" si="14"/>
        <v>通過</v>
      </c>
    </row>
    <row r="168" spans="1:24" ht="34" customHeight="1">
      <c r="A168" s="11" t="s">
        <v>1029</v>
      </c>
      <c r="B168" s="11" t="s">
        <v>1029</v>
      </c>
      <c r="C168" s="11" t="s">
        <v>54</v>
      </c>
      <c r="D168" s="11" t="s">
        <v>1030</v>
      </c>
      <c r="E168" s="11" t="s">
        <v>1031</v>
      </c>
      <c r="F168" s="11" t="s">
        <v>1032</v>
      </c>
      <c r="G168" s="11" t="s">
        <v>58</v>
      </c>
      <c r="H168" s="11" t="s">
        <v>1033</v>
      </c>
      <c r="I168" s="11" t="s">
        <v>1034</v>
      </c>
      <c r="J168" s="12" t="s">
        <v>8</v>
      </c>
      <c r="K168" s="12"/>
      <c r="L168" s="12"/>
      <c r="M168" s="12"/>
      <c r="N168" s="12"/>
      <c r="O168" s="12" t="s">
        <v>60</v>
      </c>
      <c r="P168" s="12"/>
      <c r="Q168" s="12"/>
      <c r="R168" s="12"/>
      <c r="S168" s="12"/>
      <c r="T168" s="13" t="str">
        <f t="shared" si="10"/>
        <v>通過</v>
      </c>
      <c r="U168" s="13" t="str">
        <f t="shared" si="11"/>
        <v>妹妹正在用功念書</v>
      </c>
      <c r="V168" s="13" t="str">
        <f t="shared" si="12"/>
        <v>妹妹/現在/用功/念書/用功/用功</v>
      </c>
      <c r="W168" s="13" t="str">
        <f t="shared" si="13"/>
        <v>是</v>
      </c>
      <c r="X168" s="13" t="str">
        <f t="shared" si="14"/>
        <v>通過</v>
      </c>
    </row>
    <row r="169" spans="1:24" ht="34" customHeight="1">
      <c r="A169" s="11" t="s">
        <v>1035</v>
      </c>
      <c r="B169" s="11" t="s">
        <v>1035</v>
      </c>
      <c r="C169" s="11" t="s">
        <v>54</v>
      </c>
      <c r="D169" s="11" t="s">
        <v>1036</v>
      </c>
      <c r="E169" s="11" t="s">
        <v>1037</v>
      </c>
      <c r="F169" s="11" t="s">
        <v>1038</v>
      </c>
      <c r="G169" s="11" t="s">
        <v>58</v>
      </c>
      <c r="H169" s="11" t="s">
        <v>1039</v>
      </c>
      <c r="I169" s="11" t="s">
        <v>1040</v>
      </c>
      <c r="J169" s="12" t="s">
        <v>8</v>
      </c>
      <c r="K169" s="12"/>
      <c r="L169" s="12"/>
      <c r="M169" s="12"/>
      <c r="N169" s="12"/>
      <c r="O169" s="12" t="s">
        <v>60</v>
      </c>
      <c r="P169" s="12"/>
      <c r="Q169" s="12"/>
      <c r="R169" s="12"/>
      <c r="S169" s="12"/>
      <c r="T169" s="13" t="str">
        <f t="shared" si="10"/>
        <v>通過</v>
      </c>
      <c r="U169" s="13" t="str">
        <f t="shared" si="11"/>
        <v>你的手很髒</v>
      </c>
      <c r="V169" s="13" t="str">
        <f t="shared" si="12"/>
        <v>你/手/髒/很</v>
      </c>
      <c r="W169" s="13" t="str">
        <f t="shared" si="13"/>
        <v>是</v>
      </c>
      <c r="X169" s="13" t="str">
        <f t="shared" si="14"/>
        <v>通過</v>
      </c>
    </row>
    <row r="170" spans="1:24" ht="34" customHeight="1">
      <c r="A170" s="11" t="s">
        <v>1041</v>
      </c>
      <c r="B170" s="11" t="s">
        <v>1041</v>
      </c>
      <c r="C170" s="11" t="s">
        <v>54</v>
      </c>
      <c r="D170" s="11" t="s">
        <v>1042</v>
      </c>
      <c r="E170" s="11" t="s">
        <v>1043</v>
      </c>
      <c r="F170" s="11" t="s">
        <v>1044</v>
      </c>
      <c r="G170" s="11" t="s">
        <v>58</v>
      </c>
      <c r="H170" s="11" t="s">
        <v>1045</v>
      </c>
      <c r="I170" s="11" t="s">
        <v>1046</v>
      </c>
      <c r="J170" s="12" t="s">
        <v>8</v>
      </c>
      <c r="K170" s="12"/>
      <c r="L170" s="12"/>
      <c r="M170" s="12"/>
      <c r="N170" s="12"/>
      <c r="O170" s="12" t="s">
        <v>60</v>
      </c>
      <c r="P170" s="12"/>
      <c r="Q170" s="12"/>
      <c r="R170" s="12"/>
      <c r="S170" s="12"/>
      <c r="T170" s="13" t="str">
        <f t="shared" si="10"/>
        <v>通過</v>
      </c>
      <c r="U170" s="13" t="str">
        <f t="shared" si="11"/>
        <v>郊遊計畫因下雨而取消，令人失望難過</v>
      </c>
      <c r="V170" s="13" t="str">
        <f t="shared" si="12"/>
        <v>旅遊/玩/設計/計畫/那/下雨/取消/失望/難過</v>
      </c>
      <c r="W170" s="13" t="str">
        <f t="shared" si="13"/>
        <v>是</v>
      </c>
      <c r="X170" s="13" t="str">
        <f t="shared" si="14"/>
        <v>通過</v>
      </c>
    </row>
    <row r="171" spans="1:24" ht="34" customHeight="1">
      <c r="A171" s="11" t="s">
        <v>1047</v>
      </c>
      <c r="B171" s="11" t="s">
        <v>1047</v>
      </c>
      <c r="C171" s="11" t="s">
        <v>54</v>
      </c>
      <c r="D171" s="11" t="s">
        <v>1048</v>
      </c>
      <c r="E171" s="11" t="s">
        <v>1049</v>
      </c>
      <c r="F171" s="11" t="s">
        <v>1050</v>
      </c>
      <c r="G171" s="11" t="s">
        <v>58</v>
      </c>
      <c r="H171" s="11" t="s">
        <v>1051</v>
      </c>
      <c r="I171" s="11" t="s">
        <v>1052</v>
      </c>
      <c r="J171" s="12" t="s">
        <v>8</v>
      </c>
      <c r="K171" s="12"/>
      <c r="L171" s="12"/>
      <c r="M171" s="12"/>
      <c r="N171" s="12"/>
      <c r="O171" s="12" t="s">
        <v>60</v>
      </c>
      <c r="P171" s="12"/>
      <c r="Q171" s="12"/>
      <c r="R171" s="12"/>
      <c r="S171" s="12"/>
      <c r="T171" s="13" t="str">
        <f t="shared" si="10"/>
        <v>通過</v>
      </c>
      <c r="U171" s="13" t="str">
        <f t="shared" si="11"/>
        <v>不要難過，我會陪你</v>
      </c>
      <c r="V171" s="13" t="str">
        <f t="shared" si="12"/>
        <v>難過/不/我/陪伴/會</v>
      </c>
      <c r="W171" s="13" t="str">
        <f t="shared" si="13"/>
        <v>是</v>
      </c>
      <c r="X171" s="13" t="str">
        <f t="shared" si="14"/>
        <v>通過</v>
      </c>
    </row>
    <row r="172" spans="1:24" ht="34" customHeight="1">
      <c r="A172" s="11" t="s">
        <v>1053</v>
      </c>
      <c r="B172" s="11" t="s">
        <v>1053</v>
      </c>
      <c r="C172" s="11" t="s">
        <v>54</v>
      </c>
      <c r="D172" s="11" t="s">
        <v>1048</v>
      </c>
      <c r="E172" s="11" t="s">
        <v>1054</v>
      </c>
      <c r="F172" s="11" t="s">
        <v>1055</v>
      </c>
      <c r="G172" s="11" t="s">
        <v>58</v>
      </c>
      <c r="H172" s="11" t="s">
        <v>1056</v>
      </c>
      <c r="I172" s="11" t="s">
        <v>1057</v>
      </c>
      <c r="J172" s="12" t="s">
        <v>8</v>
      </c>
      <c r="K172" s="12"/>
      <c r="L172" s="12"/>
      <c r="M172" s="12"/>
      <c r="N172" s="12"/>
      <c r="O172" s="12" t="s">
        <v>60</v>
      </c>
      <c r="P172" s="12"/>
      <c r="Q172" s="12"/>
      <c r="R172" s="12"/>
      <c r="S172" s="12"/>
      <c r="T172" s="13" t="str">
        <f t="shared" si="10"/>
        <v>通過</v>
      </c>
      <c r="U172" s="13" t="str">
        <f t="shared" si="11"/>
        <v>你不要因為碰到小小的阻礙而灰心</v>
      </c>
      <c r="V172" s="13" t="str">
        <f t="shared" si="12"/>
        <v>你/碰壁/阻礙/少/灰心/不要</v>
      </c>
      <c r="W172" s="13" t="str">
        <f t="shared" si="13"/>
        <v>是</v>
      </c>
      <c r="X172" s="13" t="str">
        <f t="shared" si="14"/>
        <v>通過</v>
      </c>
    </row>
    <row r="173" spans="1:24" ht="34" customHeight="1">
      <c r="A173" s="11" t="s">
        <v>1058</v>
      </c>
      <c r="B173" s="11" t="s">
        <v>1058</v>
      </c>
      <c r="C173" s="11" t="s">
        <v>54</v>
      </c>
      <c r="D173" s="11" t="s">
        <v>1059</v>
      </c>
      <c r="E173" s="11" t="s">
        <v>1060</v>
      </c>
      <c r="F173" s="11" t="s">
        <v>1061</v>
      </c>
      <c r="G173" s="11" t="s">
        <v>58</v>
      </c>
      <c r="H173" s="11" t="s">
        <v>1062</v>
      </c>
      <c r="I173" s="11" t="s">
        <v>1063</v>
      </c>
      <c r="J173" s="12" t="s">
        <v>8</v>
      </c>
      <c r="K173" s="12"/>
      <c r="L173" s="12"/>
      <c r="M173" s="12"/>
      <c r="N173" s="12"/>
      <c r="O173" s="12" t="s">
        <v>60</v>
      </c>
      <c r="P173" s="12"/>
      <c r="Q173" s="12"/>
      <c r="R173" s="12"/>
      <c r="S173" s="12"/>
      <c r="T173" s="13" t="str">
        <f t="shared" si="10"/>
        <v>通過</v>
      </c>
      <c r="U173" s="13" t="str">
        <f t="shared" si="11"/>
        <v>我們在討論畢業旅行的事情</v>
      </c>
      <c r="V173" s="13" t="str">
        <f t="shared" si="12"/>
        <v>我們/討論/什麼/畢業/旅行</v>
      </c>
      <c r="W173" s="13" t="str">
        <f t="shared" si="13"/>
        <v>是</v>
      </c>
      <c r="X173" s="13" t="str">
        <f t="shared" si="14"/>
        <v>通過</v>
      </c>
    </row>
    <row r="174" spans="1:24" ht="34" customHeight="1">
      <c r="A174" s="11" t="s">
        <v>1064</v>
      </c>
      <c r="B174" s="11" t="s">
        <v>1064</v>
      </c>
      <c r="C174" s="11" t="s">
        <v>54</v>
      </c>
      <c r="D174" s="11" t="s">
        <v>1065</v>
      </c>
      <c r="E174" s="11" t="s">
        <v>1066</v>
      </c>
      <c r="F174" s="11" t="s">
        <v>1067</v>
      </c>
      <c r="G174" s="11" t="s">
        <v>58</v>
      </c>
      <c r="H174" s="11" t="s">
        <v>1068</v>
      </c>
      <c r="I174" s="11" t="s">
        <v>1069</v>
      </c>
      <c r="J174" s="12" t="s">
        <v>8</v>
      </c>
      <c r="K174" s="12"/>
      <c r="L174" s="12"/>
      <c r="M174" s="12"/>
      <c r="N174" s="12"/>
      <c r="O174" s="12" t="s">
        <v>60</v>
      </c>
      <c r="P174" s="12"/>
      <c r="Q174" s="12"/>
      <c r="R174" s="12"/>
      <c r="S174" s="12"/>
      <c r="T174" s="13" t="str">
        <f t="shared" si="10"/>
        <v>通過</v>
      </c>
      <c r="U174" s="13" t="str">
        <f t="shared" si="11"/>
        <v>我怕兔子，看到兔子會討厭</v>
      </c>
      <c r="V174" s="13" t="str">
        <f t="shared" si="12"/>
        <v>這/兔子/這/怕/見/討厭/不喜歡</v>
      </c>
      <c r="W174" s="13" t="str">
        <f t="shared" si="13"/>
        <v>是</v>
      </c>
      <c r="X174" s="13" t="str">
        <f t="shared" si="14"/>
        <v>通過</v>
      </c>
    </row>
    <row r="175" spans="1:24" ht="34" customHeight="1">
      <c r="A175" s="11" t="s">
        <v>1070</v>
      </c>
      <c r="B175" s="11" t="s">
        <v>1070</v>
      </c>
      <c r="C175" s="11" t="s">
        <v>54</v>
      </c>
      <c r="D175" s="11" t="s">
        <v>1071</v>
      </c>
      <c r="E175" s="11" t="s">
        <v>1072</v>
      </c>
      <c r="F175" s="11" t="s">
        <v>1073</v>
      </c>
      <c r="G175" s="11" t="s">
        <v>58</v>
      </c>
      <c r="H175" s="11" t="s">
        <v>1074</v>
      </c>
      <c r="I175" s="11" t="s">
        <v>1075</v>
      </c>
      <c r="J175" s="12" t="s">
        <v>8</v>
      </c>
      <c r="K175" s="12"/>
      <c r="L175" s="12"/>
      <c r="M175" s="12"/>
      <c r="N175" s="12"/>
      <c r="O175" s="12" t="s">
        <v>60</v>
      </c>
      <c r="P175" s="12"/>
      <c r="Q175" s="12"/>
      <c r="R175" s="12"/>
      <c r="S175" s="12"/>
      <c r="T175" s="13" t="str">
        <f t="shared" si="10"/>
        <v>通過</v>
      </c>
      <c r="U175" s="13" t="str">
        <f t="shared" si="11"/>
        <v>弟弟喜歡收集盤子</v>
      </c>
      <c r="V175" s="13" t="str">
        <f t="shared" si="12"/>
        <v>盤子/弟弟/喜歡/收集/喜歡</v>
      </c>
      <c r="W175" s="13" t="str">
        <f t="shared" si="13"/>
        <v>是</v>
      </c>
      <c r="X175" s="13" t="str">
        <f t="shared" si="14"/>
        <v>通過</v>
      </c>
    </row>
    <row r="176" spans="1:24" ht="34" customHeight="1">
      <c r="A176" s="11" t="s">
        <v>1076</v>
      </c>
      <c r="B176" s="11" t="s">
        <v>1076</v>
      </c>
      <c r="C176" s="11" t="s">
        <v>54</v>
      </c>
      <c r="D176" s="11" t="s">
        <v>1077</v>
      </c>
      <c r="E176" s="11" t="s">
        <v>1078</v>
      </c>
      <c r="F176" s="11" t="s">
        <v>1079</v>
      </c>
      <c r="G176" s="11" t="s">
        <v>58</v>
      </c>
      <c r="H176" s="11" t="s">
        <v>1080</v>
      </c>
      <c r="I176" s="11" t="s">
        <v>1081</v>
      </c>
      <c r="J176" s="12" t="s">
        <v>8</v>
      </c>
      <c r="K176" s="12"/>
      <c r="L176" s="12"/>
      <c r="M176" s="12"/>
      <c r="N176" s="12"/>
      <c r="O176" s="12" t="s">
        <v>60</v>
      </c>
      <c r="P176" s="12"/>
      <c r="Q176" s="12"/>
      <c r="R176" s="12"/>
      <c r="S176" s="12"/>
      <c r="T176" s="13" t="str">
        <f t="shared" si="10"/>
        <v>通過</v>
      </c>
      <c r="U176" s="13" t="str">
        <f t="shared" si="11"/>
        <v>解散後，大家自行回去</v>
      </c>
      <c r="V176" s="13" t="str">
        <f t="shared" si="12"/>
        <v>解散/大家/自己/回去</v>
      </c>
      <c r="W176" s="13" t="str">
        <f t="shared" si="13"/>
        <v>是</v>
      </c>
      <c r="X176" s="13" t="str">
        <f t="shared" si="14"/>
        <v>通過</v>
      </c>
    </row>
    <row r="177" spans="1:24" ht="34" customHeight="1">
      <c r="A177" s="11" t="s">
        <v>1082</v>
      </c>
      <c r="B177" s="11" t="s">
        <v>1082</v>
      </c>
      <c r="C177" s="11" t="s">
        <v>54</v>
      </c>
      <c r="D177" s="11" t="s">
        <v>1083</v>
      </c>
      <c r="E177" s="11" t="s">
        <v>1084</v>
      </c>
      <c r="F177" s="11" t="s">
        <v>1085</v>
      </c>
      <c r="G177" s="11" t="s">
        <v>58</v>
      </c>
      <c r="H177" s="11" t="s">
        <v>1086</v>
      </c>
      <c r="I177" s="11" t="s">
        <v>1087</v>
      </c>
      <c r="J177" s="12" t="s">
        <v>8</v>
      </c>
      <c r="K177" s="12"/>
      <c r="L177" s="12"/>
      <c r="M177" s="12"/>
      <c r="N177" s="12"/>
      <c r="O177" s="12" t="s">
        <v>60</v>
      </c>
      <c r="P177" s="12"/>
      <c r="Q177" s="12"/>
      <c r="R177" s="12"/>
      <c r="S177" s="12"/>
      <c r="T177" s="13" t="str">
        <f t="shared" si="10"/>
        <v>通過</v>
      </c>
      <c r="U177" s="13" t="str">
        <f t="shared" si="11"/>
        <v>下課去商店買飲料</v>
      </c>
      <c r="V177" s="13" t="str">
        <f t="shared" si="12"/>
        <v>下課/去/買賣/地方/飲料/買</v>
      </c>
      <c r="W177" s="13" t="str">
        <f t="shared" si="13"/>
        <v>是</v>
      </c>
      <c r="X177" s="13" t="str">
        <f t="shared" si="14"/>
        <v>通過</v>
      </c>
    </row>
    <row r="178" spans="1:24" ht="34" customHeight="1">
      <c r="A178" s="11" t="s">
        <v>1088</v>
      </c>
      <c r="B178" s="11" t="s">
        <v>1088</v>
      </c>
      <c r="C178" s="11" t="s">
        <v>54</v>
      </c>
      <c r="D178" s="11" t="s">
        <v>1089</v>
      </c>
      <c r="E178" s="11" t="s">
        <v>1090</v>
      </c>
      <c r="F178" s="11" t="s">
        <v>1091</v>
      </c>
      <c r="G178" s="11" t="s">
        <v>58</v>
      </c>
      <c r="H178" s="11" t="s">
        <v>1092</v>
      </c>
      <c r="I178" s="11" t="s">
        <v>1093</v>
      </c>
      <c r="J178" s="12" t="s">
        <v>8</v>
      </c>
      <c r="K178" s="12"/>
      <c r="L178" s="12"/>
      <c r="M178" s="12"/>
      <c r="N178" s="12"/>
      <c r="O178" s="12" t="s">
        <v>60</v>
      </c>
      <c r="P178" s="12"/>
      <c r="Q178" s="12"/>
      <c r="R178" s="12"/>
      <c r="S178" s="12"/>
      <c r="T178" s="13" t="str">
        <f t="shared" si="10"/>
        <v>通過</v>
      </c>
      <c r="U178" s="13" t="str">
        <f t="shared" si="11"/>
        <v>他們倆剛離婚</v>
      </c>
      <c r="V178" s="13" t="str">
        <f t="shared" si="12"/>
        <v>他倆/剛剛/離婚</v>
      </c>
      <c r="W178" s="13" t="str">
        <f t="shared" si="13"/>
        <v>是</v>
      </c>
      <c r="X178" s="13" t="str">
        <f t="shared" si="14"/>
        <v>通過</v>
      </c>
    </row>
    <row r="179" spans="1:24" ht="34" customHeight="1">
      <c r="A179" s="11" t="s">
        <v>1094</v>
      </c>
      <c r="B179" s="11" t="s">
        <v>1094</v>
      </c>
      <c r="C179" s="11" t="s">
        <v>54</v>
      </c>
      <c r="D179" s="11" t="s">
        <v>1095</v>
      </c>
      <c r="E179" s="11" t="s">
        <v>1096</v>
      </c>
      <c r="F179" s="11" t="s">
        <v>1097</v>
      </c>
      <c r="G179" s="11" t="s">
        <v>58</v>
      </c>
      <c r="H179" s="11" t="s">
        <v>1098</v>
      </c>
      <c r="I179" s="11" t="s">
        <v>1099</v>
      </c>
      <c r="J179" s="12" t="s">
        <v>8</v>
      </c>
      <c r="K179" s="12"/>
      <c r="L179" s="12"/>
      <c r="M179" s="12"/>
      <c r="N179" s="12"/>
      <c r="O179" s="12" t="s">
        <v>60</v>
      </c>
      <c r="P179" s="12"/>
      <c r="Q179" s="12"/>
      <c r="R179" s="12"/>
      <c r="S179" s="12"/>
      <c r="T179" s="13" t="str">
        <f t="shared" si="10"/>
        <v>通過</v>
      </c>
      <c r="U179" s="13" t="str">
        <f t="shared" si="11"/>
        <v>頭暈是高血壓的症狀之一</v>
      </c>
      <c r="V179" s="13" t="str">
        <f t="shared" si="12"/>
        <v>頭/頭暈/什麼/高血壓/病/其中/一</v>
      </c>
      <c r="W179" s="13" t="str">
        <f t="shared" si="13"/>
        <v>是</v>
      </c>
      <c r="X179" s="13" t="str">
        <f t="shared" si="14"/>
        <v>通過</v>
      </c>
    </row>
    <row r="180" spans="1:24" ht="34" customHeight="1">
      <c r="A180" s="11" t="s">
        <v>1100</v>
      </c>
      <c r="B180" s="11" t="s">
        <v>1100</v>
      </c>
      <c r="C180" s="11" t="s">
        <v>54</v>
      </c>
      <c r="D180" s="11" t="s">
        <v>1101</v>
      </c>
      <c r="E180" s="11" t="s">
        <v>1102</v>
      </c>
      <c r="F180" s="11" t="s">
        <v>1103</v>
      </c>
      <c r="G180" s="11" t="s">
        <v>58</v>
      </c>
      <c r="H180" s="11" t="s">
        <v>1104</v>
      </c>
      <c r="I180" s="11" t="s">
        <v>1105</v>
      </c>
      <c r="J180" s="12" t="s">
        <v>8</v>
      </c>
      <c r="K180" s="12"/>
      <c r="L180" s="12"/>
      <c r="M180" s="12"/>
      <c r="N180" s="12"/>
      <c r="O180" s="12" t="s">
        <v>60</v>
      </c>
      <c r="P180" s="12"/>
      <c r="Q180" s="12"/>
      <c r="R180" s="12"/>
      <c r="S180" s="12"/>
      <c r="T180" s="13" t="str">
        <f t="shared" si="10"/>
        <v>通過</v>
      </c>
      <c r="U180" s="13" t="str">
        <f t="shared" si="11"/>
        <v>工作要認真</v>
      </c>
      <c r="V180" s="13" t="str">
        <f t="shared" si="12"/>
        <v>工作/認真/要</v>
      </c>
      <c r="W180" s="13" t="str">
        <f t="shared" si="13"/>
        <v>是</v>
      </c>
      <c r="X180" s="13" t="str">
        <f t="shared" si="14"/>
        <v>通過</v>
      </c>
    </row>
    <row r="181" spans="1:24" ht="34" customHeight="1">
      <c r="A181" s="11" t="s">
        <v>1106</v>
      </c>
      <c r="B181" s="11" t="s">
        <v>1106</v>
      </c>
      <c r="C181" s="11" t="s">
        <v>54</v>
      </c>
      <c r="D181" s="11" t="s">
        <v>1107</v>
      </c>
      <c r="E181" s="11" t="s">
        <v>1108</v>
      </c>
      <c r="F181" s="11" t="s">
        <v>1109</v>
      </c>
      <c r="G181" s="11" t="s">
        <v>58</v>
      </c>
      <c r="H181" s="11" t="s">
        <v>1110</v>
      </c>
      <c r="I181" s="11" t="s">
        <v>1111</v>
      </c>
      <c r="J181" s="12" t="s">
        <v>8</v>
      </c>
      <c r="K181" s="12"/>
      <c r="L181" s="12"/>
      <c r="M181" s="12"/>
      <c r="N181" s="12"/>
      <c r="O181" s="12" t="s">
        <v>60</v>
      </c>
      <c r="P181" s="12"/>
      <c r="Q181" s="12"/>
      <c r="R181" s="12"/>
      <c r="S181" s="12"/>
      <c r="T181" s="13" t="str">
        <f t="shared" si="10"/>
        <v>通過</v>
      </c>
      <c r="U181" s="13" t="str">
        <f t="shared" si="11"/>
        <v>這件事和他沒關係，你不能牽扯到他</v>
      </c>
      <c r="V181" s="13" t="str">
        <f t="shared" si="12"/>
        <v>這/事情/他/沒關係/你/抓他進來/不能</v>
      </c>
      <c r="W181" s="13" t="str">
        <f t="shared" si="13"/>
        <v>是</v>
      </c>
      <c r="X181" s="13" t="str">
        <f t="shared" si="14"/>
        <v>通過</v>
      </c>
    </row>
    <row r="182" spans="1:24" ht="34" customHeight="1">
      <c r="A182" s="11" t="s">
        <v>1112</v>
      </c>
      <c r="B182" s="11" t="s">
        <v>1112</v>
      </c>
      <c r="C182" s="11" t="s">
        <v>54</v>
      </c>
      <c r="D182" s="11" t="s">
        <v>1113</v>
      </c>
      <c r="E182" s="11" t="s">
        <v>1114</v>
      </c>
      <c r="F182" s="11" t="s">
        <v>1115</v>
      </c>
      <c r="G182" s="11" t="s">
        <v>58</v>
      </c>
      <c r="H182" s="11" t="s">
        <v>1116</v>
      </c>
      <c r="I182" s="11" t="s">
        <v>1117</v>
      </c>
      <c r="J182" s="12" t="s">
        <v>8</v>
      </c>
      <c r="K182" s="12"/>
      <c r="L182" s="12"/>
      <c r="M182" s="12"/>
      <c r="N182" s="12"/>
      <c r="O182" s="12" t="s">
        <v>60</v>
      </c>
      <c r="P182" s="12"/>
      <c r="Q182" s="12"/>
      <c r="R182" s="12"/>
      <c r="S182" s="12"/>
      <c r="T182" s="13" t="str">
        <f t="shared" si="10"/>
        <v>通過</v>
      </c>
      <c r="U182" s="13" t="str">
        <f t="shared" si="11"/>
        <v>這隻狗很瘦</v>
      </c>
      <c r="V182" s="13" t="str">
        <f t="shared" si="12"/>
        <v>這/狗/瘦</v>
      </c>
      <c r="W182" s="13" t="str">
        <f t="shared" si="13"/>
        <v>是</v>
      </c>
      <c r="X182" s="13" t="str">
        <f t="shared" si="14"/>
        <v>通過</v>
      </c>
    </row>
    <row r="183" spans="1:24" ht="34" customHeight="1">
      <c r="A183" s="11" t="s">
        <v>1118</v>
      </c>
      <c r="B183" s="11" t="s">
        <v>1118</v>
      </c>
      <c r="C183" s="11" t="s">
        <v>54</v>
      </c>
      <c r="D183" s="11" t="s">
        <v>1119</v>
      </c>
      <c r="E183" s="11" t="s">
        <v>1120</v>
      </c>
      <c r="F183" s="11" t="s">
        <v>1121</v>
      </c>
      <c r="G183" s="11" t="s">
        <v>58</v>
      </c>
      <c r="H183" s="11" t="s">
        <v>1122</v>
      </c>
      <c r="I183" s="11" t="s">
        <v>1123</v>
      </c>
      <c r="J183" s="12" t="s">
        <v>3253</v>
      </c>
      <c r="K183" s="12"/>
      <c r="L183" s="12"/>
      <c r="M183" s="12"/>
      <c r="N183" s="12"/>
      <c r="O183" s="12" t="s">
        <v>3250</v>
      </c>
      <c r="P183" s="12"/>
      <c r="Q183" s="12"/>
      <c r="R183" s="12"/>
      <c r="S183" s="12"/>
      <c r="T183" s="13" t="str">
        <f t="shared" si="10"/>
        <v>通過</v>
      </c>
      <c r="U183" s="13" t="str">
        <f t="shared" si="11"/>
        <v>門上有很多裝飾</v>
      </c>
      <c r="V183" s="13" t="str">
        <f t="shared" si="12"/>
        <v>門/這/物體</v>
      </c>
      <c r="W183" s="13" t="str">
        <f t="shared" si="13"/>
        <v>是</v>
      </c>
      <c r="X183" s="13" t="str">
        <f t="shared" si="14"/>
        <v>通過</v>
      </c>
    </row>
    <row r="184" spans="1:24" ht="34" customHeight="1">
      <c r="A184" s="11" t="s">
        <v>1124</v>
      </c>
      <c r="B184" s="11" t="s">
        <v>1124</v>
      </c>
      <c r="C184" s="11" t="s">
        <v>54</v>
      </c>
      <c r="D184" s="11" t="s">
        <v>1125</v>
      </c>
      <c r="E184" s="11" t="s">
        <v>1126</v>
      </c>
      <c r="F184" s="11" t="s">
        <v>1127</v>
      </c>
      <c r="G184" s="11" t="s">
        <v>58</v>
      </c>
      <c r="H184" s="11" t="s">
        <v>1128</v>
      </c>
      <c r="I184" s="11" t="s">
        <v>1129</v>
      </c>
      <c r="J184" s="12" t="s">
        <v>8</v>
      </c>
      <c r="K184" s="12"/>
      <c r="L184" s="12"/>
      <c r="M184" s="12"/>
      <c r="N184" s="12"/>
      <c r="O184" s="12" t="s">
        <v>60</v>
      </c>
      <c r="P184" s="12"/>
      <c r="Q184" s="12"/>
      <c r="R184" s="12"/>
      <c r="S184" s="12"/>
      <c r="T184" s="13" t="str">
        <f t="shared" si="10"/>
        <v>通過</v>
      </c>
      <c r="U184" s="13" t="str">
        <f t="shared" si="11"/>
        <v>我想喝汽水，請你幫我去買好嗎</v>
      </c>
      <c r="V184" s="13" t="str">
        <f t="shared" si="12"/>
        <v>汽水/我/想/喝/你/幫我/去/買/好</v>
      </c>
      <c r="W184" s="13" t="str">
        <f t="shared" si="13"/>
        <v>是</v>
      </c>
      <c r="X184" s="13" t="str">
        <f t="shared" si="14"/>
        <v>通過</v>
      </c>
    </row>
    <row r="185" spans="1:24" ht="34" customHeight="1">
      <c r="A185" s="11" t="s">
        <v>1130</v>
      </c>
      <c r="B185" s="11" t="s">
        <v>1130</v>
      </c>
      <c r="C185" s="11" t="s">
        <v>54</v>
      </c>
      <c r="D185" s="11" t="s">
        <v>1131</v>
      </c>
      <c r="E185" s="11" t="s">
        <v>1132</v>
      </c>
      <c r="F185" s="11" t="s">
        <v>1133</v>
      </c>
      <c r="G185" s="11" t="s">
        <v>58</v>
      </c>
      <c r="H185" s="11" t="s">
        <v>1134</v>
      </c>
      <c r="I185" s="11" t="s">
        <v>1135</v>
      </c>
      <c r="J185" s="12" t="s">
        <v>8</v>
      </c>
      <c r="K185" s="12"/>
      <c r="L185" s="12"/>
      <c r="M185" s="12"/>
      <c r="N185" s="12"/>
      <c r="O185" s="12" t="s">
        <v>60</v>
      </c>
      <c r="P185" s="12"/>
      <c r="Q185" s="12"/>
      <c r="R185" s="12"/>
      <c r="S185" s="12"/>
      <c r="T185" s="13" t="str">
        <f t="shared" si="10"/>
        <v>通過</v>
      </c>
      <c r="U185" s="13" t="str">
        <f t="shared" si="11"/>
        <v>開車需要有駕照</v>
      </c>
      <c r="V185" s="13" t="str">
        <f t="shared" si="12"/>
        <v>開車/證明/要</v>
      </c>
      <c r="W185" s="13" t="str">
        <f t="shared" si="13"/>
        <v>是</v>
      </c>
      <c r="X185" s="13" t="str">
        <f t="shared" si="14"/>
        <v>通過</v>
      </c>
    </row>
    <row r="186" spans="1:24" ht="34" customHeight="1">
      <c r="A186" s="11" t="s">
        <v>1136</v>
      </c>
      <c r="B186" s="11" t="s">
        <v>1136</v>
      </c>
      <c r="C186" s="11" t="s">
        <v>54</v>
      </c>
      <c r="D186" s="11" t="s">
        <v>1137</v>
      </c>
      <c r="E186" s="11" t="s">
        <v>1138</v>
      </c>
      <c r="F186" s="11" t="s">
        <v>1139</v>
      </c>
      <c r="G186" s="11" t="s">
        <v>58</v>
      </c>
      <c r="H186" s="11" t="s">
        <v>1140</v>
      </c>
      <c r="I186" s="11" t="s">
        <v>1141</v>
      </c>
      <c r="J186" s="12" t="s">
        <v>8</v>
      </c>
      <c r="K186" s="12"/>
      <c r="L186" s="12"/>
      <c r="M186" s="12"/>
      <c r="N186" s="12"/>
      <c r="O186" s="12" t="s">
        <v>60</v>
      </c>
      <c r="P186" s="12"/>
      <c r="Q186" s="12"/>
      <c r="R186" s="12"/>
      <c r="S186" s="12"/>
      <c r="T186" s="13" t="str">
        <f t="shared" si="10"/>
        <v>通過</v>
      </c>
      <c r="U186" s="13" t="str">
        <f t="shared" si="11"/>
        <v>我口渴，要喝水</v>
      </c>
      <c r="V186" s="13" t="str">
        <f t="shared" si="12"/>
        <v>乾/我/喝/要/喝/要</v>
      </c>
      <c r="W186" s="13" t="str">
        <f t="shared" si="13"/>
        <v>是</v>
      </c>
      <c r="X186" s="13" t="str">
        <f t="shared" si="14"/>
        <v>通過</v>
      </c>
    </row>
    <row r="187" spans="1:24" ht="34" customHeight="1">
      <c r="A187" s="11" t="s">
        <v>1142</v>
      </c>
      <c r="B187" s="11" t="s">
        <v>1142</v>
      </c>
      <c r="C187" s="11" t="s">
        <v>54</v>
      </c>
      <c r="D187" s="11" t="s">
        <v>1143</v>
      </c>
      <c r="E187" s="11" t="s">
        <v>1144</v>
      </c>
      <c r="F187" s="11" t="s">
        <v>1145</v>
      </c>
      <c r="G187" s="11" t="s">
        <v>58</v>
      </c>
      <c r="H187" s="11" t="s">
        <v>1146</v>
      </c>
      <c r="I187" s="11" t="s">
        <v>1147</v>
      </c>
      <c r="J187" s="12" t="s">
        <v>8</v>
      </c>
      <c r="K187" s="12"/>
      <c r="L187" s="12"/>
      <c r="M187" s="12"/>
      <c r="N187" s="12"/>
      <c r="O187" s="12" t="s">
        <v>60</v>
      </c>
      <c r="P187" s="12"/>
      <c r="Q187" s="12"/>
      <c r="R187" s="12"/>
      <c r="S187" s="12"/>
      <c r="T187" s="13" t="str">
        <f t="shared" si="10"/>
        <v>通過</v>
      </c>
      <c r="U187" s="13" t="str">
        <f t="shared" si="11"/>
        <v>用電鍋煮蛋很簡單</v>
      </c>
      <c r="V187" s="13" t="str">
        <f t="shared" si="12"/>
        <v>電鍋/蛋/蛋放進去電鍋/煮/簡單/便利</v>
      </c>
      <c r="W187" s="13" t="str">
        <f t="shared" si="13"/>
        <v>是</v>
      </c>
      <c r="X187" s="13" t="str">
        <f t="shared" si="14"/>
        <v>通過</v>
      </c>
    </row>
    <row r="188" spans="1:24" ht="34" customHeight="1">
      <c r="A188" s="11" t="s">
        <v>1148</v>
      </c>
      <c r="B188" s="11" t="s">
        <v>1148</v>
      </c>
      <c r="C188" s="11" t="s">
        <v>54</v>
      </c>
      <c r="D188" s="11" t="s">
        <v>1143</v>
      </c>
      <c r="E188" s="11" t="s">
        <v>1149</v>
      </c>
      <c r="F188" s="11" t="s">
        <v>1150</v>
      </c>
      <c r="G188" s="11" t="s">
        <v>58</v>
      </c>
      <c r="H188" s="11" t="s">
        <v>1151</v>
      </c>
      <c r="I188" s="11" t="s">
        <v>1152</v>
      </c>
      <c r="J188" s="12" t="s">
        <v>8</v>
      </c>
      <c r="K188" s="12"/>
      <c r="L188" s="12"/>
      <c r="M188" s="12"/>
      <c r="N188" s="12"/>
      <c r="O188" s="12" t="s">
        <v>60</v>
      </c>
      <c r="P188" s="12"/>
      <c r="Q188" s="12"/>
      <c r="R188" s="12"/>
      <c r="S188" s="12"/>
      <c r="T188" s="13" t="str">
        <f t="shared" si="10"/>
        <v>通過</v>
      </c>
      <c r="U188" s="13" t="str">
        <f t="shared" si="11"/>
        <v>這張考卷很簡單</v>
      </c>
      <c r="V188" s="13" t="str">
        <f t="shared" si="12"/>
        <v>這/紙/考試/紙/容易/容易</v>
      </c>
      <c r="W188" s="13" t="str">
        <f t="shared" si="13"/>
        <v>是</v>
      </c>
      <c r="X188" s="13" t="str">
        <f t="shared" si="14"/>
        <v>通過</v>
      </c>
    </row>
    <row r="189" spans="1:24" ht="34" customHeight="1">
      <c r="A189" s="11" t="s">
        <v>1153</v>
      </c>
      <c r="B189" s="11" t="s">
        <v>1153</v>
      </c>
      <c r="C189" s="11" t="s">
        <v>54</v>
      </c>
      <c r="D189" s="11" t="s">
        <v>1154</v>
      </c>
      <c r="E189" s="11" t="s">
        <v>1155</v>
      </c>
      <c r="F189" s="11" t="s">
        <v>1156</v>
      </c>
      <c r="G189" s="11" t="s">
        <v>58</v>
      </c>
      <c r="H189" s="11" t="s">
        <v>1157</v>
      </c>
      <c r="I189" s="11" t="s">
        <v>1158</v>
      </c>
      <c r="J189" s="12" t="s">
        <v>8</v>
      </c>
      <c r="K189" s="12"/>
      <c r="L189" s="12"/>
      <c r="M189" s="12"/>
      <c r="N189" s="12"/>
      <c r="O189" s="12" t="s">
        <v>60</v>
      </c>
      <c r="P189" s="12"/>
      <c r="Q189" s="12"/>
      <c r="R189" s="12"/>
      <c r="S189" s="12"/>
      <c r="T189" s="13" t="str">
        <f t="shared" si="10"/>
        <v>通過</v>
      </c>
      <c r="U189" s="13" t="str">
        <f t="shared" si="11"/>
        <v>他包的餃子很好吃</v>
      </c>
      <c r="V189" s="13" t="str">
        <f t="shared" si="12"/>
        <v>他/水餃/吃/好</v>
      </c>
      <c r="W189" s="13" t="str">
        <f t="shared" si="13"/>
        <v>是</v>
      </c>
      <c r="X189" s="13" t="str">
        <f t="shared" si="14"/>
        <v>通過</v>
      </c>
    </row>
    <row r="190" spans="1:24" ht="34" customHeight="1">
      <c r="A190" s="11" t="s">
        <v>1159</v>
      </c>
      <c r="B190" s="11" t="s">
        <v>1159</v>
      </c>
      <c r="C190" s="11" t="s">
        <v>54</v>
      </c>
      <c r="D190" s="11" t="s">
        <v>1160</v>
      </c>
      <c r="E190" s="11" t="s">
        <v>1161</v>
      </c>
      <c r="F190" s="11" t="s">
        <v>1162</v>
      </c>
      <c r="G190" s="11" t="s">
        <v>58</v>
      </c>
      <c r="H190" s="11" t="s">
        <v>1163</v>
      </c>
      <c r="I190" s="11" t="s">
        <v>1164</v>
      </c>
      <c r="J190" s="12" t="s">
        <v>8</v>
      </c>
      <c r="K190" s="12"/>
      <c r="L190" s="12"/>
      <c r="M190" s="12"/>
      <c r="N190" s="12"/>
      <c r="O190" s="12" t="s">
        <v>60</v>
      </c>
      <c r="P190" s="12"/>
      <c r="Q190" s="12"/>
      <c r="R190" s="12"/>
      <c r="S190" s="12"/>
      <c r="T190" s="13" t="str">
        <f t="shared" si="10"/>
        <v>通過</v>
      </c>
      <c r="U190" s="13" t="str">
        <f t="shared" si="11"/>
        <v>你今天晚上要回家吃飯嗎</v>
      </c>
      <c r="V190" s="13" t="str">
        <f t="shared" si="12"/>
        <v>你/今天/晚上/回家/吃飯/要</v>
      </c>
      <c r="W190" s="13" t="str">
        <f t="shared" si="13"/>
        <v>是</v>
      </c>
      <c r="X190" s="13" t="str">
        <f t="shared" si="14"/>
        <v>通過</v>
      </c>
    </row>
    <row r="191" spans="1:24" ht="34" customHeight="1">
      <c r="A191" s="11" t="s">
        <v>1165</v>
      </c>
      <c r="B191" s="11" t="s">
        <v>1165</v>
      </c>
      <c r="C191" s="11" t="s">
        <v>54</v>
      </c>
      <c r="D191" s="11" t="s">
        <v>1166</v>
      </c>
      <c r="E191" s="11" t="s">
        <v>1167</v>
      </c>
      <c r="F191" s="11" t="s">
        <v>1168</v>
      </c>
      <c r="G191" s="11" t="s">
        <v>58</v>
      </c>
      <c r="H191" s="11" t="s">
        <v>1169</v>
      </c>
      <c r="I191" s="11" t="s">
        <v>1170</v>
      </c>
      <c r="J191" s="12" t="s">
        <v>8</v>
      </c>
      <c r="K191" s="12"/>
      <c r="L191" s="12"/>
      <c r="M191" s="12"/>
      <c r="N191" s="12"/>
      <c r="O191" s="12" t="s">
        <v>60</v>
      </c>
      <c r="P191" s="12"/>
      <c r="Q191" s="12"/>
      <c r="R191" s="12"/>
      <c r="S191" s="12"/>
      <c r="T191" s="13" t="str">
        <f t="shared" si="10"/>
        <v>通過</v>
      </c>
      <c r="U191" s="13" t="str">
        <f t="shared" si="11"/>
        <v>他努力得到第一名</v>
      </c>
      <c r="V191" s="13" t="str">
        <f t="shared" si="12"/>
        <v>他/認真/努力/獲得/第一名</v>
      </c>
      <c r="W191" s="13" t="str">
        <f t="shared" si="13"/>
        <v>是</v>
      </c>
      <c r="X191" s="13" t="str">
        <f t="shared" si="14"/>
        <v>通過</v>
      </c>
    </row>
    <row r="192" spans="1:24" ht="34" customHeight="1">
      <c r="A192" s="11" t="s">
        <v>1171</v>
      </c>
      <c r="B192" s="11" t="s">
        <v>1171</v>
      </c>
      <c r="C192" s="11" t="s">
        <v>54</v>
      </c>
      <c r="D192" s="11" t="s">
        <v>1172</v>
      </c>
      <c r="E192" s="11" t="s">
        <v>1173</v>
      </c>
      <c r="F192" s="11" t="s">
        <v>1174</v>
      </c>
      <c r="G192" s="11" t="s">
        <v>58</v>
      </c>
      <c r="H192" s="11" t="s">
        <v>1175</v>
      </c>
      <c r="I192" s="11" t="s">
        <v>1176</v>
      </c>
      <c r="J192" s="12" t="s">
        <v>8</v>
      </c>
      <c r="K192" s="12"/>
      <c r="L192" s="12"/>
      <c r="M192" s="12"/>
      <c r="N192" s="12"/>
      <c r="O192" s="12" t="s">
        <v>60</v>
      </c>
      <c r="P192" s="12"/>
      <c r="Q192" s="12"/>
      <c r="R192" s="12"/>
      <c r="S192" s="12"/>
      <c r="T192" s="13" t="str">
        <f t="shared" si="10"/>
        <v>通過</v>
      </c>
      <c r="U192" s="13" t="str">
        <f t="shared" si="11"/>
        <v>他常說話說得太自大，你可別相信</v>
      </c>
      <c r="V192" s="13" t="str">
        <f t="shared" si="12"/>
        <v>他/演講/自大/演講/你/他/相信他/不行</v>
      </c>
      <c r="W192" s="13" t="str">
        <f t="shared" si="13"/>
        <v>是</v>
      </c>
      <c r="X192" s="13" t="str">
        <f t="shared" si="14"/>
        <v>通過</v>
      </c>
    </row>
    <row r="193" spans="1:24" ht="34" customHeight="1">
      <c r="A193" s="11" t="s">
        <v>1177</v>
      </c>
      <c r="B193" s="11" t="s">
        <v>1177</v>
      </c>
      <c r="C193" s="11" t="s">
        <v>54</v>
      </c>
      <c r="D193" s="11" t="s">
        <v>1178</v>
      </c>
      <c r="E193" s="11" t="s">
        <v>1179</v>
      </c>
      <c r="F193" s="11" t="s">
        <v>1180</v>
      </c>
      <c r="G193" s="11" t="s">
        <v>58</v>
      </c>
      <c r="H193" s="11" t="s">
        <v>1181</v>
      </c>
      <c r="I193" s="11" t="s">
        <v>1182</v>
      </c>
      <c r="J193" s="12" t="s">
        <v>8</v>
      </c>
      <c r="K193" s="12"/>
      <c r="L193" s="12"/>
      <c r="M193" s="12"/>
      <c r="N193" s="12"/>
      <c r="O193" s="12" t="s">
        <v>60</v>
      </c>
      <c r="P193" s="12"/>
      <c r="Q193" s="12"/>
      <c r="R193" s="12"/>
      <c r="S193" s="12"/>
      <c r="T193" s="13" t="str">
        <f t="shared" si="10"/>
        <v>通過</v>
      </c>
      <c r="U193" s="13" t="str">
        <f t="shared" si="11"/>
        <v>媽媽抱抱小孩</v>
      </c>
      <c r="V193" s="13" t="str">
        <f t="shared" si="12"/>
        <v>小孩/媽媽/抱</v>
      </c>
      <c r="W193" s="13" t="str">
        <f t="shared" si="13"/>
        <v>是</v>
      </c>
      <c r="X193" s="13" t="str">
        <f t="shared" si="14"/>
        <v>通過</v>
      </c>
    </row>
    <row r="194" spans="1:24" ht="34" customHeight="1">
      <c r="A194" s="11" t="s">
        <v>1183</v>
      </c>
      <c r="B194" s="11" t="s">
        <v>1183</v>
      </c>
      <c r="C194" s="11" t="s">
        <v>54</v>
      </c>
      <c r="D194" s="11" t="s">
        <v>1184</v>
      </c>
      <c r="E194" s="11" t="s">
        <v>1185</v>
      </c>
      <c r="F194" s="11" t="s">
        <v>1186</v>
      </c>
      <c r="G194" s="11" t="s">
        <v>58</v>
      </c>
      <c r="H194" s="11" t="s">
        <v>1187</v>
      </c>
      <c r="I194" s="11" t="s">
        <v>1188</v>
      </c>
      <c r="J194" s="12" t="s">
        <v>8</v>
      </c>
      <c r="K194" s="12"/>
      <c r="L194" s="12"/>
      <c r="M194" s="12"/>
      <c r="N194" s="12"/>
      <c r="O194" s="12" t="s">
        <v>60</v>
      </c>
      <c r="P194" s="12"/>
      <c r="Q194" s="12"/>
      <c r="R194" s="12"/>
      <c r="S194" s="12"/>
      <c r="T194" s="13" t="str">
        <f t="shared" ref="T194:T257" si="15">IF(J194="","未填",IF(J194="需複審",IF(OR(P194="",P194="仍需複審"),"待複審",P194),J194))</f>
        <v>通過</v>
      </c>
      <c r="U194" s="13" t="str">
        <f t="shared" ref="U194:U257" si="16">IF(T194="通過",E194,IF(T194="需更正",IF(J194="需複審",IF(Q194="",E194,Q194),IF(L194="",E194,L194)),""))</f>
        <v>家裡沒有人</v>
      </c>
      <c r="V194" s="13" t="str">
        <f t="shared" ref="V194:V257" si="17">IF(T194="通過",F194,IF(T194="需更正",IF(J194="需複審",R194,M194),""))</f>
        <v>家/裡/人/空</v>
      </c>
      <c r="W194" s="13" t="str">
        <f t="shared" ref="W194:W257" si="18">IF(AND(OR(T194="通過",AND(T194="需更正",V194&lt;&gt;"")),X194="通過"),"是","否")</f>
        <v>是</v>
      </c>
      <c r="X194" s="13" t="str">
        <f t="shared" ref="X194:X257" si="19">IF(J194="","未填",IF(AND(J194="需複審",OR(P194="",P194="仍需複審")),"待複審",IF(OR(AND(J194="需更正",K194=""),AND(J194="需更正",M194=""),AND(J194="需更正",N194=""),AND(J194="排除",OR(K194="",N194="")),AND(J194="需複審",P194="需更正",R194=""),AND(J194="需複審",P194="需更正",S194=""),AND(J194="需複審",P194="排除",S194="")),"錯誤：請補齊必填欄位","通過")))</f>
        <v>通過</v>
      </c>
    </row>
    <row r="195" spans="1:24" ht="34" customHeight="1">
      <c r="A195" s="11" t="s">
        <v>1189</v>
      </c>
      <c r="B195" s="11" t="s">
        <v>1189</v>
      </c>
      <c r="C195" s="11" t="s">
        <v>54</v>
      </c>
      <c r="D195" s="11" t="s">
        <v>1190</v>
      </c>
      <c r="E195" s="11" t="s">
        <v>1191</v>
      </c>
      <c r="F195" s="11" t="s">
        <v>1192</v>
      </c>
      <c r="G195" s="11" t="s">
        <v>58</v>
      </c>
      <c r="H195" s="11" t="s">
        <v>1193</v>
      </c>
      <c r="I195" s="11" t="s">
        <v>1194</v>
      </c>
      <c r="J195" s="12" t="s">
        <v>8</v>
      </c>
      <c r="K195" s="12"/>
      <c r="L195" s="12"/>
      <c r="M195" s="12"/>
      <c r="N195" s="12"/>
      <c r="O195" s="12" t="s">
        <v>60</v>
      </c>
      <c r="P195" s="12"/>
      <c r="Q195" s="12"/>
      <c r="R195" s="12"/>
      <c r="S195" s="12"/>
      <c r="T195" s="13" t="str">
        <f t="shared" si="15"/>
        <v>通過</v>
      </c>
      <c r="U195" s="13" t="str">
        <f t="shared" si="16"/>
        <v>最近又發生以色列和巴勒斯坦國家衝突</v>
      </c>
      <c r="V195" s="13" t="str">
        <f t="shared" si="17"/>
        <v>最近/總是/發生/什麼/以色列/這/巴勒斯坦/這/國/二/國家/敵人/常常/發生</v>
      </c>
      <c r="W195" s="13" t="str">
        <f t="shared" si="18"/>
        <v>是</v>
      </c>
      <c r="X195" s="13" t="str">
        <f t="shared" si="19"/>
        <v>通過</v>
      </c>
    </row>
    <row r="196" spans="1:24" ht="34" customHeight="1">
      <c r="A196" s="11" t="s">
        <v>1195</v>
      </c>
      <c r="B196" s="11" t="s">
        <v>1195</v>
      </c>
      <c r="C196" s="11" t="s">
        <v>54</v>
      </c>
      <c r="D196" s="11" t="s">
        <v>1196</v>
      </c>
      <c r="E196" s="11" t="s">
        <v>1197</v>
      </c>
      <c r="F196" s="11" t="s">
        <v>1198</v>
      </c>
      <c r="G196" s="11" t="s">
        <v>58</v>
      </c>
      <c r="H196" s="11" t="s">
        <v>1199</v>
      </c>
      <c r="I196" s="11" t="s">
        <v>1200</v>
      </c>
      <c r="J196" s="12" t="s">
        <v>8</v>
      </c>
      <c r="K196" s="12"/>
      <c r="L196" s="12"/>
      <c r="M196" s="12"/>
      <c r="N196" s="12"/>
      <c r="O196" s="12" t="s">
        <v>60</v>
      </c>
      <c r="P196" s="12"/>
      <c r="Q196" s="12"/>
      <c r="R196" s="12"/>
      <c r="S196" s="12"/>
      <c r="T196" s="13" t="str">
        <f t="shared" si="15"/>
        <v>通過</v>
      </c>
      <c r="U196" s="13" t="str">
        <f t="shared" si="16"/>
        <v>把英文學好很重要</v>
      </c>
      <c r="V196" s="13" t="str">
        <f t="shared" si="17"/>
        <v>讀/英文/讀/學習/重要</v>
      </c>
      <c r="W196" s="13" t="str">
        <f t="shared" si="18"/>
        <v>是</v>
      </c>
      <c r="X196" s="13" t="str">
        <f t="shared" si="19"/>
        <v>通過</v>
      </c>
    </row>
    <row r="197" spans="1:24" ht="34" customHeight="1">
      <c r="A197" s="11" t="s">
        <v>1201</v>
      </c>
      <c r="B197" s="11" t="s">
        <v>1201</v>
      </c>
      <c r="C197" s="11" t="s">
        <v>54</v>
      </c>
      <c r="D197" s="11" t="s">
        <v>1202</v>
      </c>
      <c r="E197" s="11" t="s">
        <v>1203</v>
      </c>
      <c r="F197" s="11" t="s">
        <v>1204</v>
      </c>
      <c r="G197" s="11" t="s">
        <v>58</v>
      </c>
      <c r="H197" s="11" t="s">
        <v>1205</v>
      </c>
      <c r="I197" s="11" t="s">
        <v>1206</v>
      </c>
      <c r="J197" s="12" t="s">
        <v>8</v>
      </c>
      <c r="K197" s="12"/>
      <c r="L197" s="12"/>
      <c r="M197" s="12"/>
      <c r="N197" s="12"/>
      <c r="O197" s="12" t="s">
        <v>60</v>
      </c>
      <c r="P197" s="12"/>
      <c r="Q197" s="12"/>
      <c r="R197" s="12"/>
      <c r="S197" s="12"/>
      <c r="T197" s="13" t="str">
        <f t="shared" si="15"/>
        <v>通過</v>
      </c>
      <c r="U197" s="13" t="str">
        <f t="shared" si="16"/>
        <v>環境保護，人人有責</v>
      </c>
      <c r="V197" s="13" t="str">
        <f t="shared" si="17"/>
        <v>環境/保護/每/人/責任</v>
      </c>
      <c r="W197" s="13" t="str">
        <f t="shared" si="18"/>
        <v>是</v>
      </c>
      <c r="X197" s="13" t="str">
        <f t="shared" si="19"/>
        <v>通過</v>
      </c>
    </row>
    <row r="198" spans="1:24" ht="34" customHeight="1">
      <c r="A198" s="11" t="s">
        <v>1207</v>
      </c>
      <c r="B198" s="11" t="s">
        <v>1208</v>
      </c>
      <c r="C198" s="11" t="s">
        <v>54</v>
      </c>
      <c r="D198" s="11" t="s">
        <v>1209</v>
      </c>
      <c r="E198" s="11" t="s">
        <v>1210</v>
      </c>
      <c r="F198" s="11" t="s">
        <v>1211</v>
      </c>
      <c r="G198" s="11" t="s">
        <v>58</v>
      </c>
      <c r="H198" s="11" t="s">
        <v>1212</v>
      </c>
      <c r="I198" s="11" t="s">
        <v>1213</v>
      </c>
      <c r="J198" s="12" t="s">
        <v>8</v>
      </c>
      <c r="K198" s="12"/>
      <c r="L198" s="12"/>
      <c r="M198" s="12"/>
      <c r="N198" s="12"/>
      <c r="O198" s="12" t="s">
        <v>60</v>
      </c>
      <c r="P198" s="12"/>
      <c r="Q198" s="12"/>
      <c r="R198" s="12"/>
      <c r="S198" s="12"/>
      <c r="T198" s="13" t="str">
        <f t="shared" si="15"/>
        <v>通過</v>
      </c>
      <c r="U198" s="13" t="str">
        <f t="shared" si="16"/>
        <v>努力學習是為了有更好的將來</v>
      </c>
      <c r="V198" s="13" t="str">
        <f t="shared" si="17"/>
        <v>學習/努力/目的/未來/更/棒</v>
      </c>
      <c r="W198" s="13" t="str">
        <f t="shared" si="18"/>
        <v>是</v>
      </c>
      <c r="X198" s="13" t="str">
        <f t="shared" si="19"/>
        <v>通過</v>
      </c>
    </row>
    <row r="199" spans="1:24" ht="34" customHeight="1">
      <c r="A199" s="11" t="s">
        <v>1214</v>
      </c>
      <c r="B199" s="11" t="s">
        <v>1214</v>
      </c>
      <c r="C199" s="11" t="s">
        <v>54</v>
      </c>
      <c r="D199" s="11" t="s">
        <v>1215</v>
      </c>
      <c r="E199" s="11" t="s">
        <v>1216</v>
      </c>
      <c r="F199" s="11" t="s">
        <v>1217</v>
      </c>
      <c r="G199" s="11" t="s">
        <v>58</v>
      </c>
      <c r="H199" s="11" t="s">
        <v>1218</v>
      </c>
      <c r="I199" s="11" t="s">
        <v>1219</v>
      </c>
      <c r="J199" s="12" t="s">
        <v>8</v>
      </c>
      <c r="K199" s="12"/>
      <c r="L199" s="12"/>
      <c r="M199" s="12"/>
      <c r="N199" s="12"/>
      <c r="O199" s="12" t="s">
        <v>60</v>
      </c>
      <c r="P199" s="12"/>
      <c r="Q199" s="12"/>
      <c r="R199" s="12"/>
      <c r="S199" s="12"/>
      <c r="T199" s="13" t="str">
        <f t="shared" si="15"/>
        <v>通過</v>
      </c>
      <c r="U199" s="13" t="str">
        <f t="shared" si="16"/>
        <v>夏天的夜晚很熱</v>
      </c>
      <c r="V199" s="13" t="str">
        <f t="shared" si="17"/>
        <v>夏天/夜晚/熱</v>
      </c>
      <c r="W199" s="13" t="str">
        <f t="shared" si="18"/>
        <v>是</v>
      </c>
      <c r="X199" s="13" t="str">
        <f t="shared" si="19"/>
        <v>通過</v>
      </c>
    </row>
    <row r="200" spans="1:24" ht="34" customHeight="1">
      <c r="A200" s="11" t="s">
        <v>1220</v>
      </c>
      <c r="B200" s="11" t="s">
        <v>1220</v>
      </c>
      <c r="C200" s="11" t="s">
        <v>54</v>
      </c>
      <c r="D200" s="11" t="s">
        <v>1215</v>
      </c>
      <c r="E200" s="11" t="s">
        <v>1221</v>
      </c>
      <c r="F200" s="11" t="s">
        <v>1222</v>
      </c>
      <c r="G200" s="11" t="s">
        <v>58</v>
      </c>
      <c r="H200" s="11" t="s">
        <v>1223</v>
      </c>
      <c r="I200" s="11" t="s">
        <v>1224</v>
      </c>
      <c r="J200" s="12" t="s">
        <v>8</v>
      </c>
      <c r="K200" s="12"/>
      <c r="L200" s="12"/>
      <c r="M200" s="12"/>
      <c r="N200" s="12"/>
      <c r="O200" s="12" t="s">
        <v>60</v>
      </c>
      <c r="P200" s="12"/>
      <c r="Q200" s="12"/>
      <c r="R200" s="12"/>
      <c r="S200" s="12"/>
      <c r="T200" s="13" t="str">
        <f t="shared" si="15"/>
        <v>通過</v>
      </c>
      <c r="U200" s="13" t="str">
        <f t="shared" si="16"/>
        <v>今天晚上特別安靜</v>
      </c>
      <c r="V200" s="13" t="str">
        <f t="shared" si="17"/>
        <v>今天/晚上/安靜</v>
      </c>
      <c r="W200" s="13" t="str">
        <f t="shared" si="18"/>
        <v>是</v>
      </c>
      <c r="X200" s="13" t="str">
        <f t="shared" si="19"/>
        <v>通過</v>
      </c>
    </row>
    <row r="201" spans="1:24" ht="34" customHeight="1">
      <c r="A201" s="11" t="s">
        <v>1225</v>
      </c>
      <c r="B201" s="11" t="s">
        <v>1225</v>
      </c>
      <c r="C201" s="11" t="s">
        <v>54</v>
      </c>
      <c r="D201" s="11" t="s">
        <v>1226</v>
      </c>
      <c r="E201" s="11" t="s">
        <v>1227</v>
      </c>
      <c r="F201" s="11" t="s">
        <v>1228</v>
      </c>
      <c r="G201" s="11" t="s">
        <v>58</v>
      </c>
      <c r="H201" s="11" t="s">
        <v>1229</v>
      </c>
      <c r="I201" s="11" t="s">
        <v>1230</v>
      </c>
      <c r="J201" s="12" t="s">
        <v>8</v>
      </c>
      <c r="K201" s="12"/>
      <c r="L201" s="12"/>
      <c r="M201" s="12"/>
      <c r="N201" s="12"/>
      <c r="O201" s="12" t="s">
        <v>60</v>
      </c>
      <c r="P201" s="12"/>
      <c r="Q201" s="12"/>
      <c r="R201" s="12"/>
      <c r="S201" s="12"/>
      <c r="T201" s="13" t="str">
        <f t="shared" si="15"/>
        <v>通過</v>
      </c>
      <c r="U201" s="13" t="str">
        <f t="shared" si="16"/>
        <v>每次出門都要帶錢包</v>
      </c>
      <c r="V201" s="13" t="str">
        <f t="shared" si="17"/>
        <v>每/出/錢/皮包/放進/要</v>
      </c>
      <c r="W201" s="13" t="str">
        <f t="shared" si="18"/>
        <v>是</v>
      </c>
      <c r="X201" s="13" t="str">
        <f t="shared" si="19"/>
        <v>通過</v>
      </c>
    </row>
    <row r="202" spans="1:24" ht="34" customHeight="1">
      <c r="A202" s="11" t="s">
        <v>1231</v>
      </c>
      <c r="B202" s="11" t="s">
        <v>1231</v>
      </c>
      <c r="C202" s="11" t="s">
        <v>54</v>
      </c>
      <c r="D202" s="11" t="s">
        <v>1232</v>
      </c>
      <c r="E202" s="11" t="s">
        <v>1233</v>
      </c>
      <c r="F202" s="11" t="s">
        <v>1234</v>
      </c>
      <c r="G202" s="11" t="s">
        <v>58</v>
      </c>
      <c r="H202" s="11" t="s">
        <v>1235</v>
      </c>
      <c r="I202" s="11" t="s">
        <v>1236</v>
      </c>
      <c r="J202" s="12" t="s">
        <v>8</v>
      </c>
      <c r="K202" s="12"/>
      <c r="L202" s="12"/>
      <c r="M202" s="12"/>
      <c r="N202" s="12"/>
      <c r="O202" s="12" t="s">
        <v>60</v>
      </c>
      <c r="P202" s="12"/>
      <c r="Q202" s="12"/>
      <c r="R202" s="12"/>
      <c r="S202" s="12"/>
      <c r="T202" s="13" t="str">
        <f t="shared" si="15"/>
        <v>通過</v>
      </c>
      <c r="U202" s="13" t="str">
        <f t="shared" si="16"/>
        <v>每天游泳對身體很好</v>
      </c>
      <c r="V202" s="13" t="str">
        <f t="shared" si="17"/>
        <v>每天/游泳/幫我/身體/好</v>
      </c>
      <c r="W202" s="13" t="str">
        <f t="shared" si="18"/>
        <v>是</v>
      </c>
      <c r="X202" s="13" t="str">
        <f t="shared" si="19"/>
        <v>通過</v>
      </c>
    </row>
    <row r="203" spans="1:24" ht="34" customHeight="1">
      <c r="A203" s="11" t="s">
        <v>1237</v>
      </c>
      <c r="B203" s="11" t="s">
        <v>1237</v>
      </c>
      <c r="C203" s="11" t="s">
        <v>54</v>
      </c>
      <c r="D203" s="11" t="s">
        <v>1238</v>
      </c>
      <c r="E203" s="11" t="s">
        <v>1239</v>
      </c>
      <c r="F203" s="11" t="s">
        <v>1240</v>
      </c>
      <c r="G203" s="11" t="s">
        <v>58</v>
      </c>
      <c r="H203" s="11" t="s">
        <v>1241</v>
      </c>
      <c r="I203" s="11" t="s">
        <v>1242</v>
      </c>
      <c r="J203" s="12" t="s">
        <v>10</v>
      </c>
      <c r="K203" s="12" t="s">
        <v>3242</v>
      </c>
      <c r="L203" s="12"/>
      <c r="M203" s="12" t="s">
        <v>3256</v>
      </c>
      <c r="N203" s="12" t="s">
        <v>3257</v>
      </c>
      <c r="O203" s="12" t="s">
        <v>60</v>
      </c>
      <c r="P203" s="12"/>
      <c r="Q203" s="12"/>
      <c r="R203" s="12"/>
      <c r="S203" s="12"/>
      <c r="T203" s="13" t="str">
        <f t="shared" si="15"/>
        <v>需更正</v>
      </c>
      <c r="U203" s="13" t="str">
        <f t="shared" si="16"/>
        <v>出國旅行前，要記得換一些外幣</v>
      </c>
      <c r="V203" s="13" t="str">
        <f t="shared" si="17"/>
        <v>國外/飛機/旅遊/國外/錢/換_B/記得</v>
      </c>
      <c r="W203" s="13" t="str">
        <f t="shared" si="18"/>
        <v>是</v>
      </c>
      <c r="X203" s="13" t="str">
        <f t="shared" si="19"/>
        <v>通過</v>
      </c>
    </row>
    <row r="204" spans="1:24" ht="34" customHeight="1">
      <c r="A204" s="11" t="s">
        <v>1243</v>
      </c>
      <c r="B204" s="11" t="s">
        <v>1243</v>
      </c>
      <c r="C204" s="11" t="s">
        <v>54</v>
      </c>
      <c r="D204" s="11" t="s">
        <v>1244</v>
      </c>
      <c r="E204" s="11" t="s">
        <v>1245</v>
      </c>
      <c r="F204" s="11" t="s">
        <v>1246</v>
      </c>
      <c r="G204" s="11" t="s">
        <v>58</v>
      </c>
      <c r="H204" s="11" t="s">
        <v>1247</v>
      </c>
      <c r="I204" s="11" t="s">
        <v>1248</v>
      </c>
      <c r="J204" s="12" t="s">
        <v>8</v>
      </c>
      <c r="K204" s="12"/>
      <c r="L204" s="12"/>
      <c r="M204" s="12"/>
      <c r="N204" s="12"/>
      <c r="O204" s="12" t="s">
        <v>60</v>
      </c>
      <c r="P204" s="12"/>
      <c r="Q204" s="12"/>
      <c r="R204" s="12"/>
      <c r="S204" s="12"/>
      <c r="T204" s="13" t="str">
        <f t="shared" si="15"/>
        <v>通過</v>
      </c>
      <c r="U204" s="13" t="str">
        <f t="shared" si="16"/>
        <v>媽媽不允許我出去玩</v>
      </c>
      <c r="V204" s="13" t="str">
        <f t="shared" si="17"/>
        <v>我/去/出/玩/媽媽/允許/沒有</v>
      </c>
      <c r="W204" s="13" t="str">
        <f t="shared" si="18"/>
        <v>是</v>
      </c>
      <c r="X204" s="13" t="str">
        <f t="shared" si="19"/>
        <v>通過</v>
      </c>
    </row>
    <row r="205" spans="1:24" ht="34" customHeight="1">
      <c r="A205" s="11" t="s">
        <v>1249</v>
      </c>
      <c r="B205" s="11" t="s">
        <v>1249</v>
      </c>
      <c r="C205" s="11" t="s">
        <v>54</v>
      </c>
      <c r="D205" s="11" t="s">
        <v>1250</v>
      </c>
      <c r="E205" s="11" t="s">
        <v>1251</v>
      </c>
      <c r="F205" s="11" t="s">
        <v>1252</v>
      </c>
      <c r="G205" s="11" t="s">
        <v>58</v>
      </c>
      <c r="H205" s="11" t="s">
        <v>1253</v>
      </c>
      <c r="I205" s="11" t="s">
        <v>1254</v>
      </c>
      <c r="J205" s="12" t="s">
        <v>8</v>
      </c>
      <c r="K205" s="12"/>
      <c r="L205" s="12"/>
      <c r="M205" s="12"/>
      <c r="N205" s="12"/>
      <c r="O205" s="12" t="s">
        <v>60</v>
      </c>
      <c r="P205" s="12"/>
      <c r="Q205" s="12"/>
      <c r="R205" s="12"/>
      <c r="S205" s="12"/>
      <c r="T205" s="13" t="str">
        <f t="shared" si="15"/>
        <v>通過</v>
      </c>
      <c r="U205" s="13" t="str">
        <f t="shared" si="16"/>
        <v>比較貴的東西品質一定比較好</v>
      </c>
      <c r="V205" s="13" t="str">
        <f t="shared" si="17"/>
        <v>東西/貴/品/程度/一定/棒</v>
      </c>
      <c r="W205" s="13" t="str">
        <f t="shared" si="18"/>
        <v>是</v>
      </c>
      <c r="X205" s="13" t="str">
        <f t="shared" si="19"/>
        <v>通過</v>
      </c>
    </row>
    <row r="206" spans="1:24" ht="34" customHeight="1">
      <c r="A206" s="11" t="s">
        <v>1255</v>
      </c>
      <c r="B206" s="11" t="s">
        <v>1255</v>
      </c>
      <c r="C206" s="11" t="s">
        <v>54</v>
      </c>
      <c r="D206" s="11" t="s">
        <v>1256</v>
      </c>
      <c r="E206" s="11" t="s">
        <v>1257</v>
      </c>
      <c r="F206" s="11" t="s">
        <v>1258</v>
      </c>
      <c r="G206" s="11" t="s">
        <v>58</v>
      </c>
      <c r="H206" s="11" t="s">
        <v>1259</v>
      </c>
      <c r="I206" s="11" t="s">
        <v>1260</v>
      </c>
      <c r="J206" s="12" t="s">
        <v>8</v>
      </c>
      <c r="K206" s="12"/>
      <c r="L206" s="12"/>
      <c r="M206" s="12"/>
      <c r="N206" s="12"/>
      <c r="O206" s="12" t="s">
        <v>60</v>
      </c>
      <c r="P206" s="12"/>
      <c r="Q206" s="12"/>
      <c r="R206" s="12"/>
      <c r="S206" s="12"/>
      <c r="T206" s="13" t="str">
        <f t="shared" si="15"/>
        <v>通過</v>
      </c>
      <c r="U206" s="13" t="str">
        <f t="shared" si="16"/>
        <v>他開始解釋遲到的理由了</v>
      </c>
      <c r="V206" s="13" t="str">
        <f t="shared" si="17"/>
        <v>他/遲到/開始/解釋/什麼</v>
      </c>
      <c r="W206" s="13" t="str">
        <f t="shared" si="18"/>
        <v>是</v>
      </c>
      <c r="X206" s="13" t="str">
        <f t="shared" si="19"/>
        <v>通過</v>
      </c>
    </row>
    <row r="207" spans="1:24" ht="34" customHeight="1">
      <c r="A207" s="11" t="s">
        <v>1261</v>
      </c>
      <c r="B207" s="11" t="s">
        <v>1261</v>
      </c>
      <c r="C207" s="11" t="s">
        <v>54</v>
      </c>
      <c r="D207" s="11" t="s">
        <v>1262</v>
      </c>
      <c r="E207" s="11" t="s">
        <v>1263</v>
      </c>
      <c r="F207" s="11" t="s">
        <v>1264</v>
      </c>
      <c r="G207" s="11" t="s">
        <v>58</v>
      </c>
      <c r="H207" s="11" t="s">
        <v>1265</v>
      </c>
      <c r="I207" s="11" t="s">
        <v>1266</v>
      </c>
      <c r="J207" s="12" t="s">
        <v>8</v>
      </c>
      <c r="K207" s="12"/>
      <c r="L207" s="12"/>
      <c r="M207" s="12"/>
      <c r="N207" s="12"/>
      <c r="O207" s="12" t="s">
        <v>60</v>
      </c>
      <c r="P207" s="12"/>
      <c r="Q207" s="12"/>
      <c r="R207" s="12"/>
      <c r="S207" s="12"/>
      <c r="T207" s="13" t="str">
        <f t="shared" si="15"/>
        <v>通過</v>
      </c>
      <c r="U207" s="13" t="str">
        <f t="shared" si="16"/>
        <v>你的眼睛怎麼腫腫的</v>
      </c>
      <c r="V207" s="13" t="str">
        <f t="shared" si="17"/>
        <v>你/眼睛/腫/什麼</v>
      </c>
      <c r="W207" s="13" t="str">
        <f t="shared" si="18"/>
        <v>是</v>
      </c>
      <c r="X207" s="13" t="str">
        <f t="shared" si="19"/>
        <v>通過</v>
      </c>
    </row>
    <row r="208" spans="1:24" ht="34" customHeight="1">
      <c r="A208" s="11" t="s">
        <v>1267</v>
      </c>
      <c r="B208" s="11" t="s">
        <v>1267</v>
      </c>
      <c r="C208" s="11" t="s">
        <v>54</v>
      </c>
      <c r="D208" s="11" t="s">
        <v>1268</v>
      </c>
      <c r="E208" s="11" t="s">
        <v>1269</v>
      </c>
      <c r="F208" s="11" t="s">
        <v>1270</v>
      </c>
      <c r="G208" s="11" t="s">
        <v>58</v>
      </c>
      <c r="H208" s="11" t="s">
        <v>1271</v>
      </c>
      <c r="I208" s="11" t="s">
        <v>1272</v>
      </c>
      <c r="J208" s="12" t="s">
        <v>8</v>
      </c>
      <c r="K208" s="12"/>
      <c r="L208" s="12"/>
      <c r="M208" s="12"/>
      <c r="N208" s="12"/>
      <c r="O208" s="12" t="s">
        <v>60</v>
      </c>
      <c r="P208" s="12"/>
      <c r="Q208" s="12"/>
      <c r="R208" s="12"/>
      <c r="S208" s="12"/>
      <c r="T208" s="13" t="str">
        <f t="shared" si="15"/>
        <v>通過</v>
      </c>
      <c r="U208" s="13" t="str">
        <f t="shared" si="16"/>
        <v>他的臉上有疤痕</v>
      </c>
      <c r="V208" s="13" t="str">
        <f t="shared" si="17"/>
        <v>他/臉/疤痕</v>
      </c>
      <c r="W208" s="13" t="str">
        <f t="shared" si="18"/>
        <v>是</v>
      </c>
      <c r="X208" s="13" t="str">
        <f t="shared" si="19"/>
        <v>通過</v>
      </c>
    </row>
    <row r="209" spans="1:24" ht="34" customHeight="1">
      <c r="A209" s="11" t="s">
        <v>1273</v>
      </c>
      <c r="B209" s="11" t="s">
        <v>1273</v>
      </c>
      <c r="C209" s="11" t="s">
        <v>54</v>
      </c>
      <c r="D209" s="11" t="s">
        <v>1274</v>
      </c>
      <c r="E209" s="11" t="s">
        <v>1275</v>
      </c>
      <c r="F209" s="11" t="s">
        <v>1276</v>
      </c>
      <c r="G209" s="11" t="s">
        <v>58</v>
      </c>
      <c r="H209" s="11" t="s">
        <v>1277</v>
      </c>
      <c r="I209" s="11" t="s">
        <v>1278</v>
      </c>
      <c r="J209" s="12" t="s">
        <v>8</v>
      </c>
      <c r="K209" s="12"/>
      <c r="L209" s="12"/>
      <c r="M209" s="12"/>
      <c r="N209" s="12"/>
      <c r="O209" s="12" t="s">
        <v>60</v>
      </c>
      <c r="P209" s="12"/>
      <c r="Q209" s="12"/>
      <c r="R209" s="12"/>
      <c r="S209" s="12"/>
      <c r="T209" s="13" t="str">
        <f t="shared" si="15"/>
        <v>通過</v>
      </c>
      <c r="U209" s="13" t="str">
        <f t="shared" si="16"/>
        <v>昨天的棒球比賽，結果我們輸了</v>
      </c>
      <c r="V209" s="13" t="str">
        <f t="shared" si="17"/>
        <v>昨天/棒球/比賽/結果/我們/輸</v>
      </c>
      <c r="W209" s="13" t="str">
        <f t="shared" si="18"/>
        <v>是</v>
      </c>
      <c r="X209" s="13" t="str">
        <f t="shared" si="19"/>
        <v>通過</v>
      </c>
    </row>
    <row r="210" spans="1:24" ht="34" customHeight="1">
      <c r="A210" s="11" t="s">
        <v>1279</v>
      </c>
      <c r="B210" s="11" t="s">
        <v>1279</v>
      </c>
      <c r="C210" s="11" t="s">
        <v>54</v>
      </c>
      <c r="D210" s="11" t="s">
        <v>1274</v>
      </c>
      <c r="E210" s="11" t="s">
        <v>1280</v>
      </c>
      <c r="F210" s="11" t="s">
        <v>1281</v>
      </c>
      <c r="G210" s="11" t="s">
        <v>58</v>
      </c>
      <c r="H210" s="11" t="s">
        <v>1282</v>
      </c>
      <c r="I210" s="11" t="s">
        <v>1283</v>
      </c>
      <c r="J210" s="12" t="s">
        <v>8</v>
      </c>
      <c r="K210" s="12"/>
      <c r="L210" s="12"/>
      <c r="M210" s="12"/>
      <c r="N210" s="12"/>
      <c r="O210" s="12" t="s">
        <v>60</v>
      </c>
      <c r="P210" s="12"/>
      <c r="Q210" s="12"/>
      <c r="R210" s="12"/>
      <c r="S210" s="12"/>
      <c r="T210" s="13" t="str">
        <f t="shared" si="15"/>
        <v>通過</v>
      </c>
      <c r="U210" s="13" t="str">
        <f t="shared" si="16"/>
        <v>我比賽輸了</v>
      </c>
      <c r="V210" s="13" t="str">
        <f t="shared" si="17"/>
        <v>我/比賽/輸</v>
      </c>
      <c r="W210" s="13" t="str">
        <f t="shared" si="18"/>
        <v>是</v>
      </c>
      <c r="X210" s="13" t="str">
        <f t="shared" si="19"/>
        <v>通過</v>
      </c>
    </row>
    <row r="211" spans="1:24" ht="34" customHeight="1">
      <c r="A211" s="11" t="s">
        <v>1284</v>
      </c>
      <c r="B211" s="11" t="s">
        <v>1284</v>
      </c>
      <c r="C211" s="11" t="s">
        <v>54</v>
      </c>
      <c r="D211" s="11" t="s">
        <v>1285</v>
      </c>
      <c r="E211" s="11" t="s">
        <v>1286</v>
      </c>
      <c r="F211" s="11" t="s">
        <v>1287</v>
      </c>
      <c r="G211" s="11" t="s">
        <v>58</v>
      </c>
      <c r="H211" s="11" t="s">
        <v>1288</v>
      </c>
      <c r="I211" s="11" t="s">
        <v>1289</v>
      </c>
      <c r="J211" s="12" t="s">
        <v>8</v>
      </c>
      <c r="K211" s="12"/>
      <c r="L211" s="12"/>
      <c r="M211" s="12"/>
      <c r="N211" s="12"/>
      <c r="O211" s="12" t="s">
        <v>60</v>
      </c>
      <c r="P211" s="12"/>
      <c r="Q211" s="12"/>
      <c r="R211" s="12"/>
      <c r="S211" s="12"/>
      <c r="T211" s="13" t="str">
        <f t="shared" si="15"/>
        <v>通過</v>
      </c>
      <c r="U211" s="13" t="str">
        <f t="shared" si="16"/>
        <v>你最好不要失約</v>
      </c>
      <c r="V211" s="13" t="str">
        <f t="shared" si="17"/>
        <v>你/失約/不要/記得</v>
      </c>
      <c r="W211" s="13" t="str">
        <f t="shared" si="18"/>
        <v>是</v>
      </c>
      <c r="X211" s="13" t="str">
        <f t="shared" si="19"/>
        <v>通過</v>
      </c>
    </row>
    <row r="212" spans="1:24" ht="34" customHeight="1">
      <c r="A212" s="11" t="s">
        <v>1290</v>
      </c>
      <c r="B212" s="11" t="s">
        <v>1290</v>
      </c>
      <c r="C212" s="11" t="s">
        <v>54</v>
      </c>
      <c r="D212" s="11" t="s">
        <v>1291</v>
      </c>
      <c r="E212" s="11" t="s">
        <v>1292</v>
      </c>
      <c r="F212" s="11" t="s">
        <v>1293</v>
      </c>
      <c r="G212" s="11" t="s">
        <v>58</v>
      </c>
      <c r="H212" s="11" t="s">
        <v>1294</v>
      </c>
      <c r="I212" s="11" t="s">
        <v>1295</v>
      </c>
      <c r="J212" s="12" t="s">
        <v>8</v>
      </c>
      <c r="K212" s="12"/>
      <c r="L212" s="12"/>
      <c r="M212" s="12"/>
      <c r="N212" s="12"/>
      <c r="O212" s="12" t="s">
        <v>60</v>
      </c>
      <c r="P212" s="12"/>
      <c r="Q212" s="12"/>
      <c r="R212" s="12"/>
      <c r="S212" s="12"/>
      <c r="T212" s="13" t="str">
        <f t="shared" si="15"/>
        <v>通過</v>
      </c>
      <c r="U212" s="13" t="str">
        <f t="shared" si="16"/>
        <v>現在網路上有很多騙人的假新聞</v>
      </c>
      <c r="V212" s="13" t="str">
        <f t="shared" si="17"/>
        <v>現在/網/路/新聞/這些/假/騙/很多</v>
      </c>
      <c r="W212" s="13" t="str">
        <f t="shared" si="18"/>
        <v>是</v>
      </c>
      <c r="X212" s="13" t="str">
        <f t="shared" si="19"/>
        <v>通過</v>
      </c>
    </row>
    <row r="213" spans="1:24" ht="34" customHeight="1">
      <c r="A213" s="11" t="s">
        <v>1296</v>
      </c>
      <c r="B213" s="11" t="s">
        <v>1296</v>
      </c>
      <c r="C213" s="11" t="s">
        <v>54</v>
      </c>
      <c r="D213" s="11" t="s">
        <v>1297</v>
      </c>
      <c r="E213" s="11" t="s">
        <v>1298</v>
      </c>
      <c r="F213" s="11" t="s">
        <v>1299</v>
      </c>
      <c r="G213" s="11" t="s">
        <v>58</v>
      </c>
      <c r="H213" s="11" t="s">
        <v>1300</v>
      </c>
      <c r="I213" s="11" t="s">
        <v>1301</v>
      </c>
      <c r="J213" s="12" t="s">
        <v>8</v>
      </c>
      <c r="K213" s="12"/>
      <c r="L213" s="12"/>
      <c r="M213" s="12"/>
      <c r="N213" s="12"/>
      <c r="O213" s="12" t="s">
        <v>60</v>
      </c>
      <c r="P213" s="12"/>
      <c r="Q213" s="12"/>
      <c r="R213" s="12"/>
      <c r="S213" s="12"/>
      <c r="T213" s="13" t="str">
        <f t="shared" si="15"/>
        <v>通過</v>
      </c>
      <c r="U213" s="13" t="str">
        <f t="shared" si="16"/>
        <v>我來自三代同堂的大家庭</v>
      </c>
      <c r="V213" s="13" t="str">
        <f t="shared" si="17"/>
        <v>我/來自/什麼/大/家庭/三/三代</v>
      </c>
      <c r="W213" s="13" t="str">
        <f t="shared" si="18"/>
        <v>是</v>
      </c>
      <c r="X213" s="13" t="str">
        <f t="shared" si="19"/>
        <v>通過</v>
      </c>
    </row>
    <row r="214" spans="1:24" ht="34" customHeight="1">
      <c r="A214" s="11" t="s">
        <v>1302</v>
      </c>
      <c r="B214" s="11" t="s">
        <v>1302</v>
      </c>
      <c r="C214" s="11" t="s">
        <v>54</v>
      </c>
      <c r="D214" s="11" t="s">
        <v>1303</v>
      </c>
      <c r="E214" s="11" t="s">
        <v>1304</v>
      </c>
      <c r="F214" s="11" t="s">
        <v>1305</v>
      </c>
      <c r="G214" s="11" t="s">
        <v>58</v>
      </c>
      <c r="H214" s="11" t="s">
        <v>1306</v>
      </c>
      <c r="I214" s="11" t="s">
        <v>1307</v>
      </c>
      <c r="J214" s="12" t="s">
        <v>8</v>
      </c>
      <c r="K214" s="12"/>
      <c r="L214" s="12"/>
      <c r="M214" s="12"/>
      <c r="N214" s="12"/>
      <c r="O214" s="12" t="s">
        <v>60</v>
      </c>
      <c r="P214" s="12"/>
      <c r="Q214" s="12"/>
      <c r="R214" s="12"/>
      <c r="S214" s="12"/>
      <c r="T214" s="13" t="str">
        <f t="shared" si="15"/>
        <v>通過</v>
      </c>
      <c r="U214" s="13" t="str">
        <f t="shared" si="16"/>
        <v>他爸爸是有名的演員</v>
      </c>
      <c r="V214" s="13" t="str">
        <f t="shared" si="17"/>
        <v>他/爸爸/演員/有名</v>
      </c>
      <c r="W214" s="13" t="str">
        <f t="shared" si="18"/>
        <v>是</v>
      </c>
      <c r="X214" s="13" t="str">
        <f t="shared" si="19"/>
        <v>通過</v>
      </c>
    </row>
    <row r="215" spans="1:24" ht="34" customHeight="1">
      <c r="A215" s="11" t="s">
        <v>1308</v>
      </c>
      <c r="B215" s="11" t="s">
        <v>1308</v>
      </c>
      <c r="C215" s="11" t="s">
        <v>54</v>
      </c>
      <c r="D215" s="11" t="s">
        <v>1309</v>
      </c>
      <c r="E215" s="11" t="s">
        <v>1310</v>
      </c>
      <c r="F215" s="11" t="s">
        <v>1311</v>
      </c>
      <c r="G215" s="11" t="s">
        <v>58</v>
      </c>
      <c r="H215" s="11" t="s">
        <v>1312</v>
      </c>
      <c r="I215" s="11" t="s">
        <v>1313</v>
      </c>
      <c r="J215" s="12" t="s">
        <v>8</v>
      </c>
      <c r="K215" s="12"/>
      <c r="L215" s="12"/>
      <c r="M215" s="12"/>
      <c r="N215" s="12"/>
      <c r="O215" s="12" t="s">
        <v>60</v>
      </c>
      <c r="P215" s="12"/>
      <c r="Q215" s="12"/>
      <c r="R215" s="12"/>
      <c r="S215" s="12"/>
      <c r="T215" s="13" t="str">
        <f t="shared" si="15"/>
        <v>通過</v>
      </c>
      <c r="U215" s="13" t="str">
        <f t="shared" si="16"/>
        <v>農夫用水管澆農田</v>
      </c>
      <c r="V215" s="13" t="str">
        <f t="shared" si="17"/>
        <v>農/田/那/農夫/水/管子/澆水</v>
      </c>
      <c r="W215" s="13" t="str">
        <f t="shared" si="18"/>
        <v>是</v>
      </c>
      <c r="X215" s="13" t="str">
        <f t="shared" si="19"/>
        <v>通過</v>
      </c>
    </row>
    <row r="216" spans="1:24" ht="34" customHeight="1">
      <c r="A216" s="11" t="s">
        <v>1314</v>
      </c>
      <c r="B216" s="11" t="s">
        <v>1314</v>
      </c>
      <c r="C216" s="11" t="s">
        <v>54</v>
      </c>
      <c r="D216" s="11" t="s">
        <v>1315</v>
      </c>
      <c r="E216" s="11" t="s">
        <v>1316</v>
      </c>
      <c r="F216" s="11" t="s">
        <v>1317</v>
      </c>
      <c r="G216" s="11" t="s">
        <v>58</v>
      </c>
      <c r="H216" s="11" t="s">
        <v>1318</v>
      </c>
      <c r="I216" s="11" t="s">
        <v>1319</v>
      </c>
      <c r="J216" s="12" t="s">
        <v>8</v>
      </c>
      <c r="K216" s="12"/>
      <c r="L216" s="12"/>
      <c r="M216" s="12"/>
      <c r="N216" s="12"/>
      <c r="O216" s="12" t="s">
        <v>60</v>
      </c>
      <c r="P216" s="12"/>
      <c r="Q216" s="12"/>
      <c r="R216" s="12"/>
      <c r="S216" s="12"/>
      <c r="T216" s="13" t="str">
        <f t="shared" si="15"/>
        <v>通過</v>
      </c>
      <c r="U216" s="13" t="str">
        <f t="shared" si="16"/>
        <v>他跑得很快</v>
      </c>
      <c r="V216" s="13" t="str">
        <f t="shared" si="17"/>
        <v>他/跑/直/快</v>
      </c>
      <c r="W216" s="13" t="str">
        <f t="shared" si="18"/>
        <v>是</v>
      </c>
      <c r="X216" s="13" t="str">
        <f t="shared" si="19"/>
        <v>通過</v>
      </c>
    </row>
    <row r="217" spans="1:24" ht="34" customHeight="1">
      <c r="A217" s="11" t="s">
        <v>1320</v>
      </c>
      <c r="B217" s="11" t="s">
        <v>1320</v>
      </c>
      <c r="C217" s="11" t="s">
        <v>54</v>
      </c>
      <c r="D217" s="11" t="s">
        <v>1321</v>
      </c>
      <c r="E217" s="11" t="s">
        <v>1322</v>
      </c>
      <c r="F217" s="11" t="s">
        <v>1323</v>
      </c>
      <c r="G217" s="11" t="s">
        <v>58</v>
      </c>
      <c r="H217" s="11" t="s">
        <v>1324</v>
      </c>
      <c r="I217" s="11" t="s">
        <v>1325</v>
      </c>
      <c r="J217" s="12" t="s">
        <v>8</v>
      </c>
      <c r="K217" s="12"/>
      <c r="L217" s="12"/>
      <c r="M217" s="12"/>
      <c r="N217" s="12"/>
      <c r="O217" s="12" t="s">
        <v>60</v>
      </c>
      <c r="P217" s="12"/>
      <c r="Q217" s="12"/>
      <c r="R217" s="12"/>
      <c r="S217" s="12"/>
      <c r="T217" s="13" t="str">
        <f t="shared" si="15"/>
        <v>通過</v>
      </c>
      <c r="U217" s="13" t="str">
        <f t="shared" si="16"/>
        <v>養育孩子是很辛苦</v>
      </c>
      <c r="V217" s="13" t="str">
        <f t="shared" si="17"/>
        <v>小孩/養/育/苦/累</v>
      </c>
      <c r="W217" s="13" t="str">
        <f t="shared" si="18"/>
        <v>是</v>
      </c>
      <c r="X217" s="13" t="str">
        <f t="shared" si="19"/>
        <v>通過</v>
      </c>
    </row>
    <row r="218" spans="1:24" ht="34" customHeight="1">
      <c r="A218" s="11" t="s">
        <v>1326</v>
      </c>
      <c r="B218" s="11" t="s">
        <v>1326</v>
      </c>
      <c r="C218" s="11" t="s">
        <v>54</v>
      </c>
      <c r="D218" s="11" t="s">
        <v>1327</v>
      </c>
      <c r="E218" s="11" t="s">
        <v>1328</v>
      </c>
      <c r="F218" s="11" t="s">
        <v>1329</v>
      </c>
      <c r="G218" s="11" t="s">
        <v>58</v>
      </c>
      <c r="H218" s="11" t="s">
        <v>1330</v>
      </c>
      <c r="I218" s="11" t="s">
        <v>1331</v>
      </c>
      <c r="J218" s="12" t="s">
        <v>3253</v>
      </c>
      <c r="K218" s="12"/>
      <c r="L218" s="12"/>
      <c r="M218" s="12"/>
      <c r="N218" s="12"/>
      <c r="O218" s="12" t="s">
        <v>3250</v>
      </c>
      <c r="P218" s="12"/>
      <c r="Q218" s="12"/>
      <c r="R218" s="12"/>
      <c r="S218" s="12"/>
      <c r="T218" s="13" t="str">
        <f t="shared" si="15"/>
        <v>通過</v>
      </c>
      <c r="U218" s="13" t="str">
        <f t="shared" si="16"/>
        <v>男性與女性應該平等</v>
      </c>
      <c r="V218" s="13" t="str">
        <f t="shared" si="17"/>
        <v>男/女性/平等/一樣/要</v>
      </c>
      <c r="W218" s="13" t="str">
        <f t="shared" si="18"/>
        <v>是</v>
      </c>
      <c r="X218" s="13" t="str">
        <f t="shared" si="19"/>
        <v>通過</v>
      </c>
    </row>
    <row r="219" spans="1:24" ht="34" customHeight="1">
      <c r="A219" s="11" t="s">
        <v>1332</v>
      </c>
      <c r="B219" s="11" t="s">
        <v>1332</v>
      </c>
      <c r="C219" s="11" t="s">
        <v>54</v>
      </c>
      <c r="D219" s="11" t="s">
        <v>1333</v>
      </c>
      <c r="E219" s="11" t="s">
        <v>1334</v>
      </c>
      <c r="F219" s="11" t="s">
        <v>1335</v>
      </c>
      <c r="G219" s="11" t="s">
        <v>58</v>
      </c>
      <c r="H219" s="11" t="s">
        <v>1336</v>
      </c>
      <c r="I219" s="11" t="s">
        <v>1337</v>
      </c>
      <c r="J219" s="12" t="s">
        <v>8</v>
      </c>
      <c r="K219" s="12"/>
      <c r="L219" s="12"/>
      <c r="M219" s="12"/>
      <c r="N219" s="12"/>
      <c r="O219" s="12" t="s">
        <v>60</v>
      </c>
      <c r="P219" s="12"/>
      <c r="Q219" s="12"/>
      <c r="R219" s="12"/>
      <c r="S219" s="12"/>
      <c r="T219" s="13" t="str">
        <f t="shared" si="15"/>
        <v>通過</v>
      </c>
      <c r="U219" s="13" t="str">
        <f t="shared" si="16"/>
        <v>他們倆工作忙，很少見面</v>
      </c>
      <c r="V219" s="13" t="str">
        <f t="shared" si="17"/>
        <v>他倆/工作/忙/見面/少</v>
      </c>
      <c r="W219" s="13" t="str">
        <f t="shared" si="18"/>
        <v>是</v>
      </c>
      <c r="X219" s="13" t="str">
        <f t="shared" si="19"/>
        <v>通過</v>
      </c>
    </row>
    <row r="220" spans="1:24" ht="34" customHeight="1">
      <c r="A220" s="11" t="s">
        <v>1338</v>
      </c>
      <c r="B220" s="11" t="s">
        <v>1338</v>
      </c>
      <c r="C220" s="11" t="s">
        <v>54</v>
      </c>
      <c r="D220" s="11" t="s">
        <v>1333</v>
      </c>
      <c r="E220" s="11" t="s">
        <v>1339</v>
      </c>
      <c r="F220" s="11" t="s">
        <v>1340</v>
      </c>
      <c r="G220" s="11" t="s">
        <v>58</v>
      </c>
      <c r="H220" s="11" t="s">
        <v>1341</v>
      </c>
      <c r="I220" s="11" t="s">
        <v>1342</v>
      </c>
      <c r="J220" s="12" t="s">
        <v>3253</v>
      </c>
      <c r="K220" s="12"/>
      <c r="L220" s="12"/>
      <c r="M220" s="12"/>
      <c r="N220" s="12"/>
      <c r="O220" s="12" t="s">
        <v>3250</v>
      </c>
      <c r="P220" s="12"/>
      <c r="Q220" s="12"/>
      <c r="R220" s="12"/>
      <c r="S220" s="12"/>
      <c r="T220" s="13" t="str">
        <f t="shared" si="15"/>
        <v>通過</v>
      </c>
      <c r="U220" s="13" t="str">
        <f t="shared" si="16"/>
        <v>這裡的水果很少</v>
      </c>
      <c r="V220" s="13" t="str">
        <f t="shared" si="17"/>
        <v>這/水果/這些(種類)/少</v>
      </c>
      <c r="W220" s="13" t="str">
        <f t="shared" si="18"/>
        <v>是</v>
      </c>
      <c r="X220" s="13" t="str">
        <f t="shared" si="19"/>
        <v>通過</v>
      </c>
    </row>
    <row r="221" spans="1:24" ht="34" customHeight="1">
      <c r="A221" s="11" t="s">
        <v>1343</v>
      </c>
      <c r="B221" s="11" t="s">
        <v>1343</v>
      </c>
      <c r="C221" s="11" t="s">
        <v>54</v>
      </c>
      <c r="D221" s="11" t="s">
        <v>1333</v>
      </c>
      <c r="E221" s="11" t="s">
        <v>1344</v>
      </c>
      <c r="F221" s="11" t="s">
        <v>1345</v>
      </c>
      <c r="G221" s="11" t="s">
        <v>58</v>
      </c>
      <c r="H221" s="11" t="s">
        <v>1346</v>
      </c>
      <c r="I221" s="11" t="s">
        <v>1347</v>
      </c>
      <c r="J221" s="12" t="s">
        <v>8</v>
      </c>
      <c r="K221" s="12"/>
      <c r="L221" s="12"/>
      <c r="M221" s="12"/>
      <c r="N221" s="12"/>
      <c r="O221" s="12" t="s">
        <v>60</v>
      </c>
      <c r="P221" s="12"/>
      <c r="Q221" s="12"/>
      <c r="R221" s="12"/>
      <c r="S221" s="12"/>
      <c r="T221" s="13" t="str">
        <f t="shared" si="15"/>
        <v>通過</v>
      </c>
      <c r="U221" s="13" t="str">
        <f t="shared" si="16"/>
        <v>我買了一點麵包</v>
      </c>
      <c r="V221" s="13" t="str">
        <f t="shared" si="17"/>
        <v>麵包/我/買/過了/一點</v>
      </c>
      <c r="W221" s="13" t="str">
        <f t="shared" si="18"/>
        <v>是</v>
      </c>
      <c r="X221" s="13" t="str">
        <f t="shared" si="19"/>
        <v>通過</v>
      </c>
    </row>
    <row r="222" spans="1:24" ht="34" customHeight="1">
      <c r="A222" s="11" t="s">
        <v>1348</v>
      </c>
      <c r="B222" s="11" t="s">
        <v>1348</v>
      </c>
      <c r="C222" s="11" t="s">
        <v>54</v>
      </c>
      <c r="D222" s="11" t="s">
        <v>1349</v>
      </c>
      <c r="E222" s="11" t="s">
        <v>1350</v>
      </c>
      <c r="F222" s="11" t="s">
        <v>1351</v>
      </c>
      <c r="G222" s="11" t="s">
        <v>58</v>
      </c>
      <c r="H222" s="11" t="s">
        <v>1352</v>
      </c>
      <c r="I222" s="11" t="s">
        <v>1353</v>
      </c>
      <c r="J222" s="12" t="s">
        <v>8</v>
      </c>
      <c r="K222" s="12"/>
      <c r="L222" s="12"/>
      <c r="M222" s="12"/>
      <c r="N222" s="12"/>
      <c r="O222" s="12" t="s">
        <v>60</v>
      </c>
      <c r="P222" s="12"/>
      <c r="Q222" s="12"/>
      <c r="R222" s="12"/>
      <c r="S222" s="12"/>
      <c r="T222" s="13" t="str">
        <f t="shared" si="15"/>
        <v>通過</v>
      </c>
      <c r="U222" s="13" t="str">
        <f t="shared" si="16"/>
        <v>表演結束之後來找我</v>
      </c>
      <c r="V222" s="13" t="str">
        <f t="shared" si="17"/>
        <v>表演/結束/完了/你/來/找/我</v>
      </c>
      <c r="W222" s="13" t="str">
        <f t="shared" si="18"/>
        <v>是</v>
      </c>
      <c r="X222" s="13" t="str">
        <f t="shared" si="19"/>
        <v>通過</v>
      </c>
    </row>
    <row r="223" spans="1:24" ht="34" customHeight="1">
      <c r="A223" s="11" t="s">
        <v>1354</v>
      </c>
      <c r="B223" s="11" t="s">
        <v>1354</v>
      </c>
      <c r="C223" s="11" t="s">
        <v>54</v>
      </c>
      <c r="D223" s="11" t="s">
        <v>1349</v>
      </c>
      <c r="E223" s="11" t="s">
        <v>1355</v>
      </c>
      <c r="F223" s="11" t="s">
        <v>1356</v>
      </c>
      <c r="G223" s="11" t="s">
        <v>58</v>
      </c>
      <c r="H223" s="11" t="s">
        <v>1357</v>
      </c>
      <c r="I223" s="11" t="s">
        <v>1358</v>
      </c>
      <c r="J223" s="12" t="s">
        <v>8</v>
      </c>
      <c r="K223" s="12"/>
      <c r="L223" s="12"/>
      <c r="M223" s="12"/>
      <c r="N223" s="12"/>
      <c r="O223" s="12" t="s">
        <v>60</v>
      </c>
      <c r="P223" s="12"/>
      <c r="Q223" s="12"/>
      <c r="R223" s="12"/>
      <c r="S223" s="12"/>
      <c r="T223" s="13" t="str">
        <f t="shared" si="15"/>
        <v>通過</v>
      </c>
      <c r="U223" s="13" t="str">
        <f t="shared" si="16"/>
        <v>我可以做完</v>
      </c>
      <c r="V223" s="13" t="str">
        <f t="shared" si="17"/>
        <v>做/結束/我/可以</v>
      </c>
      <c r="W223" s="13" t="str">
        <f t="shared" si="18"/>
        <v>是</v>
      </c>
      <c r="X223" s="13" t="str">
        <f t="shared" si="19"/>
        <v>通過</v>
      </c>
    </row>
    <row r="224" spans="1:24" ht="34" customHeight="1">
      <c r="A224" s="11" t="s">
        <v>1359</v>
      </c>
      <c r="B224" s="11" t="s">
        <v>1359</v>
      </c>
      <c r="C224" s="11" t="s">
        <v>54</v>
      </c>
      <c r="D224" s="11" t="s">
        <v>1349</v>
      </c>
      <c r="E224" s="11" t="s">
        <v>1360</v>
      </c>
      <c r="F224" s="11" t="s">
        <v>1361</v>
      </c>
      <c r="G224" s="11" t="s">
        <v>58</v>
      </c>
      <c r="H224" s="11" t="s">
        <v>1362</v>
      </c>
      <c r="I224" s="11" t="s">
        <v>1363</v>
      </c>
      <c r="J224" s="12" t="s">
        <v>8</v>
      </c>
      <c r="K224" s="12"/>
      <c r="L224" s="12"/>
      <c r="M224" s="12"/>
      <c r="N224" s="12"/>
      <c r="O224" s="12" t="s">
        <v>60</v>
      </c>
      <c r="P224" s="12"/>
      <c r="Q224" s="12"/>
      <c r="R224" s="12"/>
      <c r="S224" s="12"/>
      <c r="T224" s="13" t="str">
        <f t="shared" si="15"/>
        <v>通過</v>
      </c>
      <c r="U224" s="13" t="str">
        <f t="shared" si="16"/>
        <v>她剛剛完成了博士論文</v>
      </c>
      <c r="V224" s="13" t="str">
        <f t="shared" si="17"/>
        <v>這/女生/博士/論文/剛剛/寫/結束</v>
      </c>
      <c r="W224" s="13" t="str">
        <f t="shared" si="18"/>
        <v>是</v>
      </c>
      <c r="X224" s="13" t="str">
        <f t="shared" si="19"/>
        <v>通過</v>
      </c>
    </row>
    <row r="225" spans="1:24" ht="34" customHeight="1">
      <c r="A225" s="11" t="s">
        <v>1364</v>
      </c>
      <c r="B225" s="11" t="s">
        <v>1364</v>
      </c>
      <c r="C225" s="11" t="s">
        <v>54</v>
      </c>
      <c r="D225" s="11" t="s">
        <v>1365</v>
      </c>
      <c r="E225" s="11" t="s">
        <v>1366</v>
      </c>
      <c r="F225" s="11" t="s">
        <v>1367</v>
      </c>
      <c r="G225" s="11" t="s">
        <v>58</v>
      </c>
      <c r="H225" s="11" t="s">
        <v>1368</v>
      </c>
      <c r="I225" s="11" t="s">
        <v>1369</v>
      </c>
      <c r="J225" s="12" t="s">
        <v>8</v>
      </c>
      <c r="K225" s="12"/>
      <c r="L225" s="12"/>
      <c r="M225" s="12"/>
      <c r="N225" s="12"/>
      <c r="O225" s="12" t="s">
        <v>60</v>
      </c>
      <c r="P225" s="12"/>
      <c r="Q225" s="12"/>
      <c r="R225" s="12"/>
      <c r="S225" s="12"/>
      <c r="T225" s="13" t="str">
        <f t="shared" si="15"/>
        <v>通過</v>
      </c>
      <c r="U225" s="13" t="str">
        <f t="shared" si="16"/>
        <v>澳洲的一片森林被大火燒掉了</v>
      </c>
      <c r="V225" s="13" t="str">
        <f t="shared" si="17"/>
        <v>澳洲/森林/火/乾淨</v>
      </c>
      <c r="W225" s="13" t="str">
        <f t="shared" si="18"/>
        <v>是</v>
      </c>
      <c r="X225" s="13" t="str">
        <f t="shared" si="19"/>
        <v>通過</v>
      </c>
    </row>
    <row r="226" spans="1:24" ht="34" customHeight="1">
      <c r="A226" s="11" t="s">
        <v>1370</v>
      </c>
      <c r="B226" s="11" t="s">
        <v>1370</v>
      </c>
      <c r="C226" s="11" t="s">
        <v>54</v>
      </c>
      <c r="D226" s="11" t="s">
        <v>1371</v>
      </c>
      <c r="E226" s="11" t="s">
        <v>1372</v>
      </c>
      <c r="F226" s="11" t="s">
        <v>1373</v>
      </c>
      <c r="G226" s="11" t="s">
        <v>58</v>
      </c>
      <c r="H226" s="11" t="s">
        <v>1374</v>
      </c>
      <c r="I226" s="11" t="s">
        <v>1375</v>
      </c>
      <c r="J226" s="12" t="s">
        <v>3258</v>
      </c>
      <c r="K226" s="12" t="s">
        <v>3259</v>
      </c>
      <c r="L226" s="12"/>
      <c r="M226" s="12" t="s">
        <v>3260</v>
      </c>
      <c r="N226" s="12" t="s">
        <v>3261</v>
      </c>
      <c r="O226" s="12" t="s">
        <v>3250</v>
      </c>
      <c r="P226" s="12"/>
      <c r="Q226" s="12"/>
      <c r="R226" s="12"/>
      <c r="S226" s="12"/>
      <c r="T226" s="13" t="str">
        <f t="shared" si="15"/>
        <v>需更正</v>
      </c>
      <c r="U226" s="13" t="str">
        <f t="shared" si="16"/>
        <v>日本的櫻花全都開花了</v>
      </c>
      <c r="V226" s="13" t="str">
        <f t="shared" si="17"/>
        <v>日本/變/開花</v>
      </c>
      <c r="W226" s="13" t="str">
        <f t="shared" si="18"/>
        <v>是</v>
      </c>
      <c r="X226" s="13" t="str">
        <f t="shared" si="19"/>
        <v>通過</v>
      </c>
    </row>
    <row r="227" spans="1:24" ht="34" customHeight="1">
      <c r="A227" s="11" t="s">
        <v>1376</v>
      </c>
      <c r="B227" s="11" t="s">
        <v>1376</v>
      </c>
      <c r="C227" s="11" t="s">
        <v>54</v>
      </c>
      <c r="D227" s="11" t="s">
        <v>1377</v>
      </c>
      <c r="E227" s="11" t="s">
        <v>1378</v>
      </c>
      <c r="F227" s="11" t="s">
        <v>1379</v>
      </c>
      <c r="G227" s="11" t="s">
        <v>58</v>
      </c>
      <c r="H227" s="11" t="s">
        <v>1380</v>
      </c>
      <c r="I227" s="11" t="s">
        <v>1381</v>
      </c>
      <c r="J227" s="12" t="s">
        <v>8</v>
      </c>
      <c r="K227" s="12"/>
      <c r="L227" s="12"/>
      <c r="M227" s="12"/>
      <c r="N227" s="12"/>
      <c r="O227" s="12" t="s">
        <v>60</v>
      </c>
      <c r="P227" s="12"/>
      <c r="Q227" s="12"/>
      <c r="R227" s="12"/>
      <c r="S227" s="12"/>
      <c r="T227" s="13" t="str">
        <f t="shared" si="15"/>
        <v>通過</v>
      </c>
      <c r="U227" s="13" t="str">
        <f t="shared" si="16"/>
        <v>工作還沒完成，繼續把它做完</v>
      </c>
      <c r="V227" s="13" t="str">
        <f t="shared" si="17"/>
        <v>工作/完/還沒/再/繼續/工作/完</v>
      </c>
      <c r="W227" s="13" t="str">
        <f t="shared" si="18"/>
        <v>是</v>
      </c>
      <c r="X227" s="13" t="str">
        <f t="shared" si="19"/>
        <v>通過</v>
      </c>
    </row>
    <row r="228" spans="1:24" ht="34" customHeight="1">
      <c r="A228" s="11" t="s">
        <v>1382</v>
      </c>
      <c r="B228" s="11" t="s">
        <v>1382</v>
      </c>
      <c r="C228" s="11" t="s">
        <v>54</v>
      </c>
      <c r="D228" s="11" t="s">
        <v>1377</v>
      </c>
      <c r="E228" s="11" t="s">
        <v>1383</v>
      </c>
      <c r="F228" s="11" t="s">
        <v>1384</v>
      </c>
      <c r="G228" s="11" t="s">
        <v>58</v>
      </c>
      <c r="H228" s="11" t="s">
        <v>1385</v>
      </c>
      <c r="I228" s="11" t="s">
        <v>1386</v>
      </c>
      <c r="J228" s="12" t="s">
        <v>8</v>
      </c>
      <c r="K228" s="12"/>
      <c r="L228" s="12"/>
      <c r="M228" s="12"/>
      <c r="N228" s="12"/>
      <c r="O228" s="12" t="s">
        <v>60</v>
      </c>
      <c r="P228" s="12"/>
      <c r="Q228" s="12"/>
      <c r="R228" s="12"/>
      <c r="S228" s="12"/>
      <c r="T228" s="13" t="str">
        <f t="shared" si="15"/>
        <v>通過</v>
      </c>
      <c r="U228" s="13" t="str">
        <f t="shared" si="16"/>
        <v>連續的大雨使得多處山崩</v>
      </c>
      <c r="V228" s="13" t="str">
        <f t="shared" si="17"/>
        <v>下雨/連/那/山/山崩</v>
      </c>
      <c r="W228" s="13" t="str">
        <f t="shared" si="18"/>
        <v>是</v>
      </c>
      <c r="X228" s="13" t="str">
        <f t="shared" si="19"/>
        <v>通過</v>
      </c>
    </row>
    <row r="229" spans="1:24" ht="34" customHeight="1">
      <c r="A229" s="11" t="s">
        <v>1387</v>
      </c>
      <c r="B229" s="11" t="s">
        <v>1387</v>
      </c>
      <c r="C229" s="11" t="s">
        <v>54</v>
      </c>
      <c r="D229" s="11" t="s">
        <v>1388</v>
      </c>
      <c r="E229" s="11" t="s">
        <v>1389</v>
      </c>
      <c r="F229" s="11" t="s">
        <v>1390</v>
      </c>
      <c r="G229" s="11" t="s">
        <v>58</v>
      </c>
      <c r="H229" s="11" t="s">
        <v>1391</v>
      </c>
      <c r="I229" s="11" t="s">
        <v>1392</v>
      </c>
      <c r="J229" s="12" t="s">
        <v>8</v>
      </c>
      <c r="K229" s="12"/>
      <c r="L229" s="12"/>
      <c r="M229" s="12"/>
      <c r="N229" s="12"/>
      <c r="O229" s="12" t="s">
        <v>60</v>
      </c>
      <c r="P229" s="12"/>
      <c r="Q229" s="12"/>
      <c r="R229" s="12"/>
      <c r="S229" s="12"/>
      <c r="T229" s="13" t="str">
        <f t="shared" si="15"/>
        <v>通過</v>
      </c>
      <c r="U229" s="13" t="str">
        <f t="shared" si="16"/>
        <v>他對外國的生活充滿嚮往</v>
      </c>
      <c r="V229" s="13" t="str">
        <f t="shared" si="17"/>
        <v>他/外國/活動/情形/他/渴望/希望</v>
      </c>
      <c r="W229" s="13" t="str">
        <f t="shared" si="18"/>
        <v>是</v>
      </c>
      <c r="X229" s="13" t="str">
        <f t="shared" si="19"/>
        <v>通過</v>
      </c>
    </row>
    <row r="230" spans="1:24" ht="34" customHeight="1">
      <c r="A230" s="11" t="s">
        <v>1393</v>
      </c>
      <c r="B230" s="11" t="s">
        <v>1393</v>
      </c>
      <c r="C230" s="11" t="s">
        <v>54</v>
      </c>
      <c r="D230" s="11" t="s">
        <v>1394</v>
      </c>
      <c r="E230" s="11" t="s">
        <v>1395</v>
      </c>
      <c r="F230" s="11" t="s">
        <v>1396</v>
      </c>
      <c r="G230" s="11" t="s">
        <v>58</v>
      </c>
      <c r="H230" s="11" t="s">
        <v>1397</v>
      </c>
      <c r="I230" s="11" t="s">
        <v>1398</v>
      </c>
      <c r="J230" s="12" t="s">
        <v>8</v>
      </c>
      <c r="K230" s="12"/>
      <c r="L230" s="12"/>
      <c r="M230" s="12"/>
      <c r="N230" s="12"/>
      <c r="O230" s="12" t="s">
        <v>60</v>
      </c>
      <c r="P230" s="12"/>
      <c r="Q230" s="12"/>
      <c r="R230" s="12"/>
      <c r="S230" s="12"/>
      <c r="T230" s="13" t="str">
        <f t="shared" si="15"/>
        <v>通過</v>
      </c>
      <c r="U230" s="13" t="str">
        <f t="shared" si="16"/>
        <v>我們要保護森林</v>
      </c>
      <c r="V230" s="13" t="str">
        <f t="shared" si="17"/>
        <v>森林/我們/保護/要</v>
      </c>
      <c r="W230" s="13" t="str">
        <f t="shared" si="18"/>
        <v>是</v>
      </c>
      <c r="X230" s="13" t="str">
        <f t="shared" si="19"/>
        <v>通過</v>
      </c>
    </row>
    <row r="231" spans="1:24" ht="34" customHeight="1">
      <c r="A231" s="11" t="s">
        <v>1399</v>
      </c>
      <c r="B231" s="11" t="s">
        <v>1399</v>
      </c>
      <c r="C231" s="11" t="s">
        <v>54</v>
      </c>
      <c r="D231" s="11" t="s">
        <v>1400</v>
      </c>
      <c r="E231" s="11" t="s">
        <v>1401</v>
      </c>
      <c r="F231" s="11" t="s">
        <v>1402</v>
      </c>
      <c r="G231" s="11" t="s">
        <v>58</v>
      </c>
      <c r="H231" s="11" t="s">
        <v>1403</v>
      </c>
      <c r="I231" s="11" t="s">
        <v>1404</v>
      </c>
      <c r="J231" s="12" t="s">
        <v>8</v>
      </c>
      <c r="K231" s="12"/>
      <c r="L231" s="12"/>
      <c r="M231" s="12"/>
      <c r="N231" s="12"/>
      <c r="O231" s="12" t="s">
        <v>60</v>
      </c>
      <c r="P231" s="12"/>
      <c r="Q231" s="12"/>
      <c r="R231" s="12"/>
      <c r="S231" s="12"/>
      <c r="T231" s="13" t="str">
        <f t="shared" si="15"/>
        <v>通過</v>
      </c>
      <c r="U231" s="13" t="str">
        <f t="shared" si="16"/>
        <v>她忘了帶錢包出門</v>
      </c>
      <c r="V231" s="13" t="str">
        <f t="shared" si="17"/>
        <v>他/出/錢/皮包/他/忘記/帶</v>
      </c>
      <c r="W231" s="13" t="str">
        <f t="shared" si="18"/>
        <v>是</v>
      </c>
      <c r="X231" s="13" t="str">
        <f t="shared" si="19"/>
        <v>通過</v>
      </c>
    </row>
    <row r="232" spans="1:24" ht="34" customHeight="1">
      <c r="A232" s="11" t="s">
        <v>1405</v>
      </c>
      <c r="B232" s="11" t="s">
        <v>1405</v>
      </c>
      <c r="C232" s="11" t="s">
        <v>54</v>
      </c>
      <c r="D232" s="11" t="s">
        <v>1406</v>
      </c>
      <c r="E232" s="11" t="s">
        <v>1407</v>
      </c>
      <c r="F232" s="11" t="s">
        <v>1408</v>
      </c>
      <c r="G232" s="11" t="s">
        <v>58</v>
      </c>
      <c r="H232" s="11" t="s">
        <v>1409</v>
      </c>
      <c r="I232" s="11" t="s">
        <v>1410</v>
      </c>
      <c r="J232" s="12" t="s">
        <v>8</v>
      </c>
      <c r="K232" s="12"/>
      <c r="L232" s="12"/>
      <c r="M232" s="12"/>
      <c r="N232" s="12"/>
      <c r="O232" s="12" t="s">
        <v>60</v>
      </c>
      <c r="P232" s="12"/>
      <c r="Q232" s="12"/>
      <c r="R232" s="12"/>
      <c r="S232" s="12"/>
      <c r="T232" s="13" t="str">
        <f t="shared" si="15"/>
        <v>通過</v>
      </c>
      <c r="U232" s="13" t="str">
        <f t="shared" si="16"/>
        <v>這裡有個怪味道</v>
      </c>
      <c r="V232" s="13" t="str">
        <f t="shared" si="17"/>
        <v>這/聞/奇怪/聞/奇怪</v>
      </c>
      <c r="W232" s="13" t="str">
        <f t="shared" si="18"/>
        <v>是</v>
      </c>
      <c r="X232" s="13" t="str">
        <f t="shared" si="19"/>
        <v>通過</v>
      </c>
    </row>
    <row r="233" spans="1:24" ht="34" customHeight="1">
      <c r="A233" s="11" t="s">
        <v>1411</v>
      </c>
      <c r="B233" s="11" t="s">
        <v>1411</v>
      </c>
      <c r="C233" s="11" t="s">
        <v>54</v>
      </c>
      <c r="D233" s="11" t="s">
        <v>1406</v>
      </c>
      <c r="E233" s="11" t="s">
        <v>1412</v>
      </c>
      <c r="F233" s="11" t="s">
        <v>1413</v>
      </c>
      <c r="G233" s="11" t="s">
        <v>58</v>
      </c>
      <c r="H233" s="11" t="s">
        <v>1414</v>
      </c>
      <c r="I233" s="11" t="s">
        <v>1415</v>
      </c>
      <c r="J233" s="12" t="s">
        <v>8</v>
      </c>
      <c r="K233" s="12"/>
      <c r="L233" s="12"/>
      <c r="M233" s="12"/>
      <c r="N233" s="12"/>
      <c r="O233" s="12" t="s">
        <v>60</v>
      </c>
      <c r="P233" s="12"/>
      <c r="Q233" s="12"/>
      <c r="R233" s="12"/>
      <c r="S233" s="12"/>
      <c r="T233" s="13" t="str">
        <f t="shared" si="15"/>
        <v>通過</v>
      </c>
      <c r="U233" s="13" t="str">
        <f t="shared" si="16"/>
        <v>這花聞起來好香</v>
      </c>
      <c r="V233" s="13" t="str">
        <f t="shared" si="17"/>
        <v>這/花/這/聞/香</v>
      </c>
      <c r="W233" s="13" t="str">
        <f t="shared" si="18"/>
        <v>是</v>
      </c>
      <c r="X233" s="13" t="str">
        <f t="shared" si="19"/>
        <v>通過</v>
      </c>
    </row>
    <row r="234" spans="1:24" ht="34" customHeight="1">
      <c r="A234" s="11" t="s">
        <v>1416</v>
      </c>
      <c r="B234" s="11" t="s">
        <v>1416</v>
      </c>
      <c r="C234" s="11" t="s">
        <v>54</v>
      </c>
      <c r="D234" s="11" t="s">
        <v>1406</v>
      </c>
      <c r="E234" s="11" t="s">
        <v>1417</v>
      </c>
      <c r="F234" s="11" t="s">
        <v>1418</v>
      </c>
      <c r="G234" s="11" t="s">
        <v>58</v>
      </c>
      <c r="H234" s="11" t="s">
        <v>1419</v>
      </c>
      <c r="I234" s="11" t="s">
        <v>1420</v>
      </c>
      <c r="J234" s="12" t="s">
        <v>8</v>
      </c>
      <c r="K234" s="12"/>
      <c r="L234" s="12"/>
      <c r="M234" s="12"/>
      <c r="N234" s="12"/>
      <c r="O234" s="12" t="s">
        <v>60</v>
      </c>
      <c r="P234" s="12"/>
      <c r="Q234" s="12"/>
      <c r="R234" s="12"/>
      <c r="S234" s="12"/>
      <c r="T234" s="13" t="str">
        <f t="shared" si="15"/>
        <v>通過</v>
      </c>
      <c r="U234" s="13" t="str">
        <f t="shared" si="16"/>
        <v>這杯咖啡聞起來很香</v>
      </c>
      <c r="V234" s="13" t="str">
        <f t="shared" si="17"/>
        <v>這/咖啡/這/聞/香</v>
      </c>
      <c r="W234" s="13" t="str">
        <f t="shared" si="18"/>
        <v>是</v>
      </c>
      <c r="X234" s="13" t="str">
        <f t="shared" si="19"/>
        <v>通過</v>
      </c>
    </row>
    <row r="235" spans="1:24" ht="34" customHeight="1">
      <c r="A235" s="11" t="s">
        <v>1421</v>
      </c>
      <c r="B235" s="11" t="s">
        <v>1421</v>
      </c>
      <c r="C235" s="11" t="s">
        <v>54</v>
      </c>
      <c r="D235" s="11" t="s">
        <v>1422</v>
      </c>
      <c r="E235" s="11" t="s">
        <v>1423</v>
      </c>
      <c r="F235" s="11" t="s">
        <v>1424</v>
      </c>
      <c r="G235" s="11" t="s">
        <v>58</v>
      </c>
      <c r="H235" s="11" t="s">
        <v>1425</v>
      </c>
      <c r="I235" s="11" t="s">
        <v>1426</v>
      </c>
      <c r="J235" s="12" t="s">
        <v>8</v>
      </c>
      <c r="K235" s="12"/>
      <c r="L235" s="12"/>
      <c r="M235" s="12"/>
      <c r="N235" s="12"/>
      <c r="O235" s="12" t="s">
        <v>60</v>
      </c>
      <c r="P235" s="12"/>
      <c r="Q235" s="12"/>
      <c r="R235" s="12"/>
      <c r="S235" s="12"/>
      <c r="T235" s="13" t="str">
        <f t="shared" si="15"/>
        <v>通過</v>
      </c>
      <c r="U235" s="13" t="str">
        <f t="shared" si="16"/>
        <v>他真的是我朋友 ( 他是一個真誠的朋友)</v>
      </c>
      <c r="V235" s="13" t="str">
        <f t="shared" si="17"/>
        <v>他/我/朋友/真/是</v>
      </c>
      <c r="W235" s="13" t="str">
        <f t="shared" si="18"/>
        <v>是</v>
      </c>
      <c r="X235" s="13" t="str">
        <f t="shared" si="19"/>
        <v>通過</v>
      </c>
    </row>
    <row r="236" spans="1:24" ht="34" customHeight="1">
      <c r="A236" s="11" t="s">
        <v>1427</v>
      </c>
      <c r="B236" s="11" t="s">
        <v>1427</v>
      </c>
      <c r="C236" s="11" t="s">
        <v>54</v>
      </c>
      <c r="D236" s="11" t="s">
        <v>1422</v>
      </c>
      <c r="E236" s="11" t="s">
        <v>1428</v>
      </c>
      <c r="F236" s="11" t="s">
        <v>1429</v>
      </c>
      <c r="G236" s="11" t="s">
        <v>58</v>
      </c>
      <c r="H236" s="11" t="s">
        <v>1430</v>
      </c>
      <c r="I236" s="11" t="s">
        <v>1431</v>
      </c>
      <c r="J236" s="12" t="s">
        <v>8</v>
      </c>
      <c r="K236" s="12"/>
      <c r="L236" s="12"/>
      <c r="M236" s="12"/>
      <c r="N236" s="12"/>
      <c r="O236" s="12" t="s">
        <v>60</v>
      </c>
      <c r="P236" s="12"/>
      <c r="Q236" s="12"/>
      <c r="R236" s="12"/>
      <c r="S236" s="12"/>
      <c r="T236" s="13" t="str">
        <f t="shared" si="15"/>
        <v>通過</v>
      </c>
      <c r="U236" s="13" t="str">
        <f t="shared" si="16"/>
        <v>我的朋友在日本</v>
      </c>
      <c r="V236" s="13" t="str">
        <f t="shared" si="17"/>
        <v>我/朋友/那/日本/那</v>
      </c>
      <c r="W236" s="13" t="str">
        <f t="shared" si="18"/>
        <v>是</v>
      </c>
      <c r="X236" s="13" t="str">
        <f t="shared" si="19"/>
        <v>通過</v>
      </c>
    </row>
    <row r="237" spans="1:24" ht="34" customHeight="1">
      <c r="A237" s="11" t="s">
        <v>1432</v>
      </c>
      <c r="B237" s="11" t="s">
        <v>1432</v>
      </c>
      <c r="C237" s="11" t="s">
        <v>54</v>
      </c>
      <c r="D237" s="11" t="s">
        <v>1433</v>
      </c>
      <c r="E237" s="11" t="s">
        <v>1434</v>
      </c>
      <c r="F237" s="11" t="s">
        <v>1435</v>
      </c>
      <c r="G237" s="11" t="s">
        <v>58</v>
      </c>
      <c r="H237" s="11" t="s">
        <v>1436</v>
      </c>
      <c r="I237" s="11" t="s">
        <v>1437</v>
      </c>
      <c r="J237" s="12" t="s">
        <v>8</v>
      </c>
      <c r="K237" s="12"/>
      <c r="L237" s="12"/>
      <c r="M237" s="12"/>
      <c r="N237" s="12"/>
      <c r="O237" s="12" t="s">
        <v>60</v>
      </c>
      <c r="P237" s="12"/>
      <c r="Q237" s="12"/>
      <c r="R237" s="12"/>
      <c r="S237" s="12"/>
      <c r="T237" s="13" t="str">
        <f t="shared" si="15"/>
        <v>通過</v>
      </c>
      <c r="U237" s="13" t="str">
        <f t="shared" si="16"/>
        <v>所有座位都滿了</v>
      </c>
      <c r="V237" s="13" t="str">
        <f t="shared" si="17"/>
        <v>座位/全部/滿</v>
      </c>
      <c r="W237" s="13" t="str">
        <f t="shared" si="18"/>
        <v>是</v>
      </c>
      <c r="X237" s="13" t="str">
        <f t="shared" si="19"/>
        <v>通過</v>
      </c>
    </row>
    <row r="238" spans="1:24" ht="34" customHeight="1">
      <c r="A238" s="11" t="s">
        <v>1438</v>
      </c>
      <c r="B238" s="11" t="s">
        <v>1438</v>
      </c>
      <c r="C238" s="11" t="s">
        <v>54</v>
      </c>
      <c r="D238" s="11" t="s">
        <v>1439</v>
      </c>
      <c r="E238" s="11" t="s">
        <v>1440</v>
      </c>
      <c r="F238" s="11" t="s">
        <v>1441</v>
      </c>
      <c r="G238" s="11" t="s">
        <v>58</v>
      </c>
      <c r="H238" s="11" t="s">
        <v>1442</v>
      </c>
      <c r="I238" s="11" t="s">
        <v>1443</v>
      </c>
      <c r="J238" s="12" t="s">
        <v>8</v>
      </c>
      <c r="K238" s="12"/>
      <c r="L238" s="12"/>
      <c r="M238" s="12"/>
      <c r="N238" s="12"/>
      <c r="O238" s="12" t="s">
        <v>60</v>
      </c>
      <c r="P238" s="12"/>
      <c r="Q238" s="12"/>
      <c r="R238" s="12"/>
      <c r="S238" s="12"/>
      <c r="T238" s="13" t="str">
        <f t="shared" si="15"/>
        <v>通過</v>
      </c>
      <c r="U238" s="13" t="str">
        <f t="shared" si="16"/>
        <v>我吃飽了</v>
      </c>
      <c r="V238" s="13" t="str">
        <f t="shared" si="17"/>
        <v>我/吃飯/飽</v>
      </c>
      <c r="W238" s="13" t="str">
        <f t="shared" si="18"/>
        <v>是</v>
      </c>
      <c r="X238" s="13" t="str">
        <f t="shared" si="19"/>
        <v>通過</v>
      </c>
    </row>
    <row r="239" spans="1:24" ht="34" customHeight="1">
      <c r="A239" s="11" t="s">
        <v>1444</v>
      </c>
      <c r="B239" s="11" t="s">
        <v>1444</v>
      </c>
      <c r="C239" s="11" t="s">
        <v>54</v>
      </c>
      <c r="D239" s="11" t="s">
        <v>1445</v>
      </c>
      <c r="E239" s="11" t="s">
        <v>1446</v>
      </c>
      <c r="F239" s="11" t="s">
        <v>1447</v>
      </c>
      <c r="G239" s="11" t="s">
        <v>58</v>
      </c>
      <c r="H239" s="11" t="s">
        <v>1448</v>
      </c>
      <c r="I239" s="11" t="s">
        <v>1449</v>
      </c>
      <c r="J239" s="12" t="s">
        <v>8</v>
      </c>
      <c r="K239" s="12"/>
      <c r="L239" s="12"/>
      <c r="M239" s="12"/>
      <c r="N239" s="12"/>
      <c r="O239" s="12" t="s">
        <v>60</v>
      </c>
      <c r="P239" s="12"/>
      <c r="Q239" s="12"/>
      <c r="R239" s="12"/>
      <c r="S239" s="12"/>
      <c r="T239" s="13" t="str">
        <f t="shared" si="15"/>
        <v>通過</v>
      </c>
      <c r="U239" s="13" t="str">
        <f t="shared" si="16"/>
        <v>未來移民到外星球是有可能的</v>
      </c>
      <c r="V239" s="13" t="str">
        <f t="shared" si="17"/>
        <v>未來/星球/我/移居/可以/能/有</v>
      </c>
      <c r="W239" s="13" t="str">
        <f t="shared" si="18"/>
        <v>是</v>
      </c>
      <c r="X239" s="13" t="str">
        <f t="shared" si="19"/>
        <v>通過</v>
      </c>
    </row>
    <row r="240" spans="1:24" ht="34" customHeight="1">
      <c r="A240" s="11" t="s">
        <v>1450</v>
      </c>
      <c r="B240" s="11" t="s">
        <v>1450</v>
      </c>
      <c r="C240" s="11" t="s">
        <v>54</v>
      </c>
      <c r="D240" s="11" t="s">
        <v>1451</v>
      </c>
      <c r="E240" s="11" t="s">
        <v>1452</v>
      </c>
      <c r="F240" s="11" t="s">
        <v>1453</v>
      </c>
      <c r="G240" s="11" t="s">
        <v>58</v>
      </c>
      <c r="H240" s="11" t="s">
        <v>1454</v>
      </c>
      <c r="I240" s="11" t="s">
        <v>1455</v>
      </c>
      <c r="J240" s="12" t="s">
        <v>8</v>
      </c>
      <c r="K240" s="12"/>
      <c r="L240" s="12"/>
      <c r="M240" s="12"/>
      <c r="N240" s="12"/>
      <c r="O240" s="12" t="s">
        <v>60</v>
      </c>
      <c r="P240" s="12"/>
      <c r="Q240" s="12"/>
      <c r="R240" s="12"/>
      <c r="S240" s="12"/>
      <c r="T240" s="13" t="str">
        <f t="shared" si="15"/>
        <v>通過</v>
      </c>
      <c r="U240" s="13" t="str">
        <f t="shared" si="16"/>
        <v>我的眼鏡斷掉了</v>
      </c>
      <c r="V240" s="13" t="str">
        <f t="shared" si="17"/>
        <v>我/眼鏡/壞掉</v>
      </c>
      <c r="W240" s="13" t="str">
        <f t="shared" si="18"/>
        <v>是</v>
      </c>
      <c r="X240" s="13" t="str">
        <f t="shared" si="19"/>
        <v>通過</v>
      </c>
    </row>
    <row r="241" spans="1:24" ht="34" customHeight="1">
      <c r="A241" s="11" t="s">
        <v>1456</v>
      </c>
      <c r="B241" s="11" t="s">
        <v>1456</v>
      </c>
      <c r="C241" s="11" t="s">
        <v>54</v>
      </c>
      <c r="D241" s="11" t="s">
        <v>1457</v>
      </c>
      <c r="E241" s="11" t="s">
        <v>1458</v>
      </c>
      <c r="F241" s="11" t="s">
        <v>1459</v>
      </c>
      <c r="G241" s="11" t="s">
        <v>58</v>
      </c>
      <c r="H241" s="11" t="s">
        <v>1460</v>
      </c>
      <c r="I241" s="11" t="s">
        <v>1461</v>
      </c>
      <c r="J241" s="12" t="s">
        <v>8</v>
      </c>
      <c r="K241" s="12"/>
      <c r="L241" s="12"/>
      <c r="M241" s="12"/>
      <c r="N241" s="12"/>
      <c r="O241" s="12" t="s">
        <v>60</v>
      </c>
      <c r="P241" s="12"/>
      <c r="Q241" s="12"/>
      <c r="R241" s="12"/>
      <c r="S241" s="12"/>
      <c r="T241" s="13" t="str">
        <f t="shared" si="15"/>
        <v>通過</v>
      </c>
      <c r="U241" s="13" t="str">
        <f t="shared" si="16"/>
        <v>他想去英國旅行</v>
      </c>
      <c r="V241" s="13" t="str">
        <f t="shared" si="17"/>
        <v>他/想/去/英國/旅行</v>
      </c>
      <c r="W241" s="13" t="str">
        <f t="shared" si="18"/>
        <v>是</v>
      </c>
      <c r="X241" s="13" t="str">
        <f t="shared" si="19"/>
        <v>通過</v>
      </c>
    </row>
    <row r="242" spans="1:24" ht="34" customHeight="1">
      <c r="A242" s="11" t="s">
        <v>1462</v>
      </c>
      <c r="B242" s="11" t="s">
        <v>1462</v>
      </c>
      <c r="C242" s="11" t="s">
        <v>54</v>
      </c>
      <c r="D242" s="11" t="s">
        <v>1457</v>
      </c>
      <c r="E242" s="11" t="s">
        <v>1463</v>
      </c>
      <c r="F242" s="11" t="s">
        <v>1464</v>
      </c>
      <c r="G242" s="11" t="s">
        <v>58</v>
      </c>
      <c r="H242" s="11" t="s">
        <v>1465</v>
      </c>
      <c r="I242" s="11" t="s">
        <v>1466</v>
      </c>
      <c r="J242" s="12" t="s">
        <v>8</v>
      </c>
      <c r="K242" s="12"/>
      <c r="L242" s="12"/>
      <c r="M242" s="12"/>
      <c r="N242" s="12"/>
      <c r="O242" s="12" t="s">
        <v>60</v>
      </c>
      <c r="P242" s="12"/>
      <c r="Q242" s="12"/>
      <c r="R242" s="12"/>
      <c r="S242" s="12"/>
      <c r="T242" s="13" t="str">
        <f t="shared" si="15"/>
        <v>通過</v>
      </c>
      <c r="U242" s="13" t="str">
        <f t="shared" si="16"/>
        <v>爸爸帶我去高雄玩</v>
      </c>
      <c r="V242" s="13" t="str">
        <f t="shared" si="17"/>
        <v>高雄(地名)/我/爸爸/帶/去</v>
      </c>
      <c r="W242" s="13" t="str">
        <f t="shared" si="18"/>
        <v>是</v>
      </c>
      <c r="X242" s="13" t="str">
        <f t="shared" si="19"/>
        <v>通過</v>
      </c>
    </row>
    <row r="243" spans="1:24" ht="34" customHeight="1">
      <c r="A243" s="11" t="s">
        <v>1467</v>
      </c>
      <c r="B243" s="11" t="s">
        <v>1467</v>
      </c>
      <c r="C243" s="11" t="s">
        <v>54</v>
      </c>
      <c r="D243" s="11" t="s">
        <v>1468</v>
      </c>
      <c r="E243" s="11" t="s">
        <v>1469</v>
      </c>
      <c r="F243" s="11" t="s">
        <v>1470</v>
      </c>
      <c r="G243" s="11" t="s">
        <v>58</v>
      </c>
      <c r="H243" s="11" t="s">
        <v>1471</v>
      </c>
      <c r="I243" s="11" t="s">
        <v>1472</v>
      </c>
      <c r="J243" s="12" t="s">
        <v>8</v>
      </c>
      <c r="K243" s="12"/>
      <c r="L243" s="12"/>
      <c r="M243" s="12"/>
      <c r="N243" s="12"/>
      <c r="O243" s="12" t="s">
        <v>60</v>
      </c>
      <c r="P243" s="12"/>
      <c r="Q243" s="12"/>
      <c r="R243" s="12"/>
      <c r="S243" s="12"/>
      <c r="T243" s="13" t="str">
        <f t="shared" si="15"/>
        <v>通過</v>
      </c>
      <c r="U243" s="13" t="str">
        <f t="shared" si="16"/>
        <v>下班之後要去健身房運動</v>
      </c>
      <c r="V243" s="13" t="str">
        <f t="shared" si="17"/>
        <v>下班/去/健身房/各種運動</v>
      </c>
      <c r="W243" s="13" t="str">
        <f t="shared" si="18"/>
        <v>是</v>
      </c>
      <c r="X243" s="13" t="str">
        <f t="shared" si="19"/>
        <v>通過</v>
      </c>
    </row>
    <row r="244" spans="1:24" ht="34" customHeight="1">
      <c r="A244" s="11" t="s">
        <v>1473</v>
      </c>
      <c r="B244" s="11" t="s">
        <v>1473</v>
      </c>
      <c r="C244" s="11" t="s">
        <v>54</v>
      </c>
      <c r="D244" s="11" t="s">
        <v>1474</v>
      </c>
      <c r="E244" s="11" t="s">
        <v>1475</v>
      </c>
      <c r="F244" s="11" t="s">
        <v>1476</v>
      </c>
      <c r="G244" s="11" t="s">
        <v>58</v>
      </c>
      <c r="H244" s="11" t="s">
        <v>1477</v>
      </c>
      <c r="I244" s="11" t="s">
        <v>1478</v>
      </c>
      <c r="J244" s="12" t="s">
        <v>8</v>
      </c>
      <c r="K244" s="12"/>
      <c r="L244" s="12"/>
      <c r="M244" s="12"/>
      <c r="N244" s="12"/>
      <c r="O244" s="12" t="s">
        <v>60</v>
      </c>
      <c r="P244" s="12"/>
      <c r="Q244" s="12"/>
      <c r="R244" s="12"/>
      <c r="S244" s="12"/>
      <c r="T244" s="13" t="str">
        <f t="shared" si="15"/>
        <v>通過</v>
      </c>
      <c r="U244" s="13" t="str">
        <f t="shared" si="16"/>
        <v>他唸書的目的很明確</v>
      </c>
      <c r="V244" s="13" t="str">
        <f t="shared" si="17"/>
        <v>他/讀書/目的/清楚/很</v>
      </c>
      <c r="W244" s="13" t="str">
        <f t="shared" si="18"/>
        <v>是</v>
      </c>
      <c r="X244" s="13" t="str">
        <f t="shared" si="19"/>
        <v>通過</v>
      </c>
    </row>
    <row r="245" spans="1:24" ht="34" customHeight="1">
      <c r="A245" s="11" t="s">
        <v>1479</v>
      </c>
      <c r="B245" s="11" t="s">
        <v>1479</v>
      </c>
      <c r="C245" s="11" t="s">
        <v>54</v>
      </c>
      <c r="D245" s="11" t="s">
        <v>1480</v>
      </c>
      <c r="E245" s="11" t="s">
        <v>1481</v>
      </c>
      <c r="F245" s="11" t="s">
        <v>1482</v>
      </c>
      <c r="G245" s="11" t="s">
        <v>58</v>
      </c>
      <c r="H245" s="11" t="s">
        <v>1483</v>
      </c>
      <c r="I245" s="11" t="s">
        <v>1484</v>
      </c>
      <c r="J245" s="12" t="s">
        <v>8</v>
      </c>
      <c r="K245" s="12"/>
      <c r="L245" s="12"/>
      <c r="M245" s="12"/>
      <c r="N245" s="12"/>
      <c r="O245" s="12" t="s">
        <v>60</v>
      </c>
      <c r="P245" s="12"/>
      <c r="Q245" s="12"/>
      <c r="R245" s="12"/>
      <c r="S245" s="12"/>
      <c r="T245" s="13" t="str">
        <f t="shared" si="15"/>
        <v>通過</v>
      </c>
      <c r="U245" s="13" t="str">
        <f t="shared" si="16"/>
        <v>那隻羊是黑色的</v>
      </c>
      <c r="V245" s="13" t="str">
        <f t="shared" si="17"/>
        <v>那/羊/那/黑</v>
      </c>
      <c r="W245" s="13" t="str">
        <f t="shared" si="18"/>
        <v>是</v>
      </c>
      <c r="X245" s="13" t="str">
        <f t="shared" si="19"/>
        <v>通過</v>
      </c>
    </row>
    <row r="246" spans="1:24" ht="34" customHeight="1">
      <c r="A246" s="11" t="s">
        <v>1485</v>
      </c>
      <c r="B246" s="11" t="s">
        <v>1485</v>
      </c>
      <c r="C246" s="11" t="s">
        <v>54</v>
      </c>
      <c r="D246" s="11" t="s">
        <v>1486</v>
      </c>
      <c r="E246" s="11" t="s">
        <v>1487</v>
      </c>
      <c r="F246" s="11" t="s">
        <v>1488</v>
      </c>
      <c r="G246" s="11" t="s">
        <v>58</v>
      </c>
      <c r="H246" s="11" t="s">
        <v>1489</v>
      </c>
      <c r="I246" s="11" t="s">
        <v>1490</v>
      </c>
      <c r="J246" s="12" t="s">
        <v>8</v>
      </c>
      <c r="K246" s="12"/>
      <c r="L246" s="12"/>
      <c r="M246" s="12"/>
      <c r="N246" s="12"/>
      <c r="O246" s="12" t="s">
        <v>60</v>
      </c>
      <c r="P246" s="12"/>
      <c r="Q246" s="12"/>
      <c r="R246" s="12"/>
      <c r="S246" s="12"/>
      <c r="T246" s="13" t="str">
        <f t="shared" si="15"/>
        <v>通過</v>
      </c>
      <c r="U246" s="13" t="str">
        <f t="shared" si="16"/>
        <v>金是一種貴重金屬</v>
      </c>
      <c r="V246" s="13" t="str">
        <f t="shared" si="17"/>
        <v>鐵/金/種類/其中/一/金/貴</v>
      </c>
      <c r="W246" s="13" t="str">
        <f t="shared" si="18"/>
        <v>是</v>
      </c>
      <c r="X246" s="13" t="str">
        <f t="shared" si="19"/>
        <v>通過</v>
      </c>
    </row>
    <row r="247" spans="1:24" ht="34" customHeight="1">
      <c r="A247" s="11" t="s">
        <v>1491</v>
      </c>
      <c r="B247" s="11" t="s">
        <v>1491</v>
      </c>
      <c r="C247" s="11" t="s">
        <v>54</v>
      </c>
      <c r="D247" s="11" t="s">
        <v>1492</v>
      </c>
      <c r="E247" s="11" t="s">
        <v>1493</v>
      </c>
      <c r="F247" s="11" t="s">
        <v>1494</v>
      </c>
      <c r="G247" s="11" t="s">
        <v>58</v>
      </c>
      <c r="H247" s="11" t="s">
        <v>1495</v>
      </c>
      <c r="I247" s="11" t="s">
        <v>1496</v>
      </c>
      <c r="J247" s="12" t="s">
        <v>8</v>
      </c>
      <c r="K247" s="12"/>
      <c r="L247" s="12"/>
      <c r="M247" s="12"/>
      <c r="N247" s="12"/>
      <c r="O247" s="12" t="s">
        <v>60</v>
      </c>
      <c r="P247" s="12"/>
      <c r="Q247" s="12"/>
      <c r="R247" s="12"/>
      <c r="S247" s="12"/>
      <c r="T247" s="13" t="str">
        <f t="shared" si="15"/>
        <v>通過</v>
      </c>
      <c r="U247" s="13" t="str">
        <f t="shared" si="16"/>
        <v>早安，你好</v>
      </c>
      <c r="V247" s="13" t="str">
        <f t="shared" si="17"/>
        <v>早/安靜/好</v>
      </c>
      <c r="W247" s="13" t="str">
        <f t="shared" si="18"/>
        <v>是</v>
      </c>
      <c r="X247" s="13" t="str">
        <f t="shared" si="19"/>
        <v>通過</v>
      </c>
    </row>
    <row r="248" spans="1:24" ht="34" customHeight="1">
      <c r="A248" s="11" t="s">
        <v>1497</v>
      </c>
      <c r="B248" s="11" t="s">
        <v>1497</v>
      </c>
      <c r="C248" s="11" t="s">
        <v>54</v>
      </c>
      <c r="D248" s="11" t="s">
        <v>1498</v>
      </c>
      <c r="E248" s="11" t="s">
        <v>1499</v>
      </c>
      <c r="F248" s="11" t="s">
        <v>1500</v>
      </c>
      <c r="G248" s="11" t="s">
        <v>58</v>
      </c>
      <c r="H248" s="11" t="s">
        <v>1501</v>
      </c>
      <c r="I248" s="11" t="s">
        <v>1502</v>
      </c>
      <c r="J248" s="12" t="s">
        <v>8</v>
      </c>
      <c r="K248" s="12"/>
      <c r="L248" s="12"/>
      <c r="M248" s="12"/>
      <c r="N248" s="12"/>
      <c r="O248" s="12" t="s">
        <v>60</v>
      </c>
      <c r="P248" s="12"/>
      <c r="Q248" s="12"/>
      <c r="R248" s="12"/>
      <c r="S248" s="12"/>
      <c r="T248" s="13" t="str">
        <f t="shared" si="15"/>
        <v>通過</v>
      </c>
      <c r="U248" s="13" t="str">
        <f t="shared" si="16"/>
        <v>我今年六月高中畢業</v>
      </c>
      <c r="V248" s="13" t="str">
        <f t="shared" si="17"/>
        <v>我/今年/六月/高三/畢業</v>
      </c>
      <c r="W248" s="13" t="str">
        <f t="shared" si="18"/>
        <v>是</v>
      </c>
      <c r="X248" s="13" t="str">
        <f t="shared" si="19"/>
        <v>通過</v>
      </c>
    </row>
    <row r="249" spans="1:24" ht="34" customHeight="1">
      <c r="A249" s="11" t="s">
        <v>1503</v>
      </c>
      <c r="B249" s="11" t="s">
        <v>1503</v>
      </c>
      <c r="C249" s="11" t="s">
        <v>54</v>
      </c>
      <c r="D249" s="11" t="s">
        <v>1504</v>
      </c>
      <c r="E249" s="11" t="s">
        <v>1505</v>
      </c>
      <c r="F249" s="11" t="s">
        <v>1506</v>
      </c>
      <c r="G249" s="11" t="s">
        <v>58</v>
      </c>
      <c r="H249" s="11" t="s">
        <v>1507</v>
      </c>
      <c r="I249" s="11" t="s">
        <v>1508</v>
      </c>
      <c r="J249" s="12" t="s">
        <v>8</v>
      </c>
      <c r="K249" s="12"/>
      <c r="L249" s="12"/>
      <c r="M249" s="12"/>
      <c r="N249" s="12"/>
      <c r="O249" s="12" t="s">
        <v>60</v>
      </c>
      <c r="P249" s="12"/>
      <c r="Q249" s="12"/>
      <c r="R249" s="12"/>
      <c r="S249" s="12"/>
      <c r="T249" s="13" t="str">
        <f t="shared" si="15"/>
        <v>通過</v>
      </c>
      <c r="U249" s="13" t="str">
        <f t="shared" si="16"/>
        <v>爺爺喜歡爬山</v>
      </c>
      <c r="V249" s="13" t="str">
        <f t="shared" si="17"/>
        <v>爬山/爺爺/喜歡/他</v>
      </c>
      <c r="W249" s="13" t="str">
        <f t="shared" si="18"/>
        <v>是</v>
      </c>
      <c r="X249" s="13" t="str">
        <f t="shared" si="19"/>
        <v>通過</v>
      </c>
    </row>
    <row r="250" spans="1:24" ht="34" customHeight="1">
      <c r="A250" s="11" t="s">
        <v>1509</v>
      </c>
      <c r="B250" s="11" t="s">
        <v>1509</v>
      </c>
      <c r="C250" s="11" t="s">
        <v>54</v>
      </c>
      <c r="D250" s="11" t="s">
        <v>1510</v>
      </c>
      <c r="E250" s="11" t="s">
        <v>1511</v>
      </c>
      <c r="F250" s="11" t="s">
        <v>1512</v>
      </c>
      <c r="G250" s="11" t="s">
        <v>58</v>
      </c>
      <c r="H250" s="11" t="s">
        <v>1513</v>
      </c>
      <c r="I250" s="11" t="s">
        <v>1514</v>
      </c>
      <c r="J250" s="12" t="s">
        <v>8</v>
      </c>
      <c r="K250" s="12"/>
      <c r="L250" s="12"/>
      <c r="M250" s="12"/>
      <c r="N250" s="12"/>
      <c r="O250" s="12" t="s">
        <v>60</v>
      </c>
      <c r="P250" s="12"/>
      <c r="Q250" s="12"/>
      <c r="R250" s="12"/>
      <c r="S250" s="12"/>
      <c r="T250" s="13" t="str">
        <f t="shared" si="15"/>
        <v>通過</v>
      </c>
      <c r="U250" s="13" t="str">
        <f t="shared" si="16"/>
        <v>這是奶奶最愛的佛珠</v>
      </c>
      <c r="V250" s="13" t="str">
        <f t="shared" si="17"/>
        <v>佛珠/這/奶奶/很/喜歡/愛/這</v>
      </c>
      <c r="W250" s="13" t="str">
        <f t="shared" si="18"/>
        <v>是</v>
      </c>
      <c r="X250" s="13" t="str">
        <f t="shared" si="19"/>
        <v>通過</v>
      </c>
    </row>
    <row r="251" spans="1:24" ht="34" customHeight="1">
      <c r="A251" s="11" t="s">
        <v>1515</v>
      </c>
      <c r="B251" s="11" t="s">
        <v>1515</v>
      </c>
      <c r="C251" s="11" t="s">
        <v>54</v>
      </c>
      <c r="D251" s="11" t="s">
        <v>1516</v>
      </c>
      <c r="E251" s="11" t="s">
        <v>1517</v>
      </c>
      <c r="F251" s="11" t="s">
        <v>1518</v>
      </c>
      <c r="G251" s="11" t="s">
        <v>58</v>
      </c>
      <c r="H251" s="11" t="s">
        <v>1519</v>
      </c>
      <c r="I251" s="11" t="s">
        <v>1520</v>
      </c>
      <c r="J251" s="12" t="s">
        <v>8</v>
      </c>
      <c r="K251" s="12"/>
      <c r="L251" s="12"/>
      <c r="M251" s="12"/>
      <c r="N251" s="12"/>
      <c r="O251" s="12" t="s">
        <v>60</v>
      </c>
      <c r="P251" s="12"/>
      <c r="Q251" s="12"/>
      <c r="R251" s="12"/>
      <c r="S251" s="12"/>
      <c r="T251" s="13" t="str">
        <f t="shared" si="15"/>
        <v>通過</v>
      </c>
      <c r="U251" s="13" t="str">
        <f t="shared" si="16"/>
        <v>葡萄不是長在樹上</v>
      </c>
      <c r="V251" s="13" t="str">
        <f t="shared" si="17"/>
        <v>葡萄/樹/那/掛樹上/那/不是</v>
      </c>
      <c r="W251" s="13" t="str">
        <f t="shared" si="18"/>
        <v>是</v>
      </c>
      <c r="X251" s="13" t="str">
        <f t="shared" si="19"/>
        <v>通過</v>
      </c>
    </row>
    <row r="252" spans="1:24" ht="34" customHeight="1">
      <c r="A252" s="11" t="s">
        <v>1521</v>
      </c>
      <c r="B252" s="11" t="s">
        <v>1521</v>
      </c>
      <c r="C252" s="11" t="s">
        <v>54</v>
      </c>
      <c r="D252" s="11" t="s">
        <v>1522</v>
      </c>
      <c r="E252" s="11" t="s">
        <v>1523</v>
      </c>
      <c r="F252" s="11" t="s">
        <v>1524</v>
      </c>
      <c r="G252" s="11" t="s">
        <v>58</v>
      </c>
      <c r="H252" s="11" t="s">
        <v>1525</v>
      </c>
      <c r="I252" s="11" t="s">
        <v>1526</v>
      </c>
      <c r="J252" s="12" t="s">
        <v>8</v>
      </c>
      <c r="K252" s="12"/>
      <c r="L252" s="12"/>
      <c r="M252" s="12"/>
      <c r="N252" s="12"/>
      <c r="O252" s="12" t="s">
        <v>60</v>
      </c>
      <c r="P252" s="12"/>
      <c r="Q252" s="12"/>
      <c r="R252" s="12"/>
      <c r="S252" s="12"/>
      <c r="T252" s="13" t="str">
        <f t="shared" si="15"/>
        <v>通過</v>
      </c>
      <c r="U252" s="13" t="str">
        <f t="shared" si="16"/>
        <v>多看綠色植物對眼睛有益</v>
      </c>
      <c r="V252" s="13" t="str">
        <f t="shared" si="17"/>
        <v>綠/樹/眼睛/見/幫我/棒</v>
      </c>
      <c r="W252" s="13" t="str">
        <f t="shared" si="18"/>
        <v>是</v>
      </c>
      <c r="X252" s="13" t="str">
        <f t="shared" si="19"/>
        <v>通過</v>
      </c>
    </row>
    <row r="253" spans="1:24" ht="34" customHeight="1">
      <c r="A253" s="11" t="s">
        <v>1527</v>
      </c>
      <c r="B253" s="11" t="s">
        <v>1527</v>
      </c>
      <c r="C253" s="11" t="s">
        <v>54</v>
      </c>
      <c r="D253" s="11" t="s">
        <v>1528</v>
      </c>
      <c r="E253" s="11" t="s">
        <v>1529</v>
      </c>
      <c r="F253" s="11" t="s">
        <v>1530</v>
      </c>
      <c r="G253" s="11" t="s">
        <v>58</v>
      </c>
      <c r="H253" s="11" t="s">
        <v>1531</v>
      </c>
      <c r="I253" s="11" t="s">
        <v>1532</v>
      </c>
      <c r="J253" s="12" t="s">
        <v>8</v>
      </c>
      <c r="K253" s="12"/>
      <c r="L253" s="12"/>
      <c r="M253" s="12"/>
      <c r="N253" s="12"/>
      <c r="O253" s="12" t="s">
        <v>60</v>
      </c>
      <c r="P253" s="12"/>
      <c r="Q253" s="12"/>
      <c r="R253" s="12"/>
      <c r="S253" s="12"/>
      <c r="T253" s="13" t="str">
        <f t="shared" si="15"/>
        <v>通過</v>
      </c>
      <c r="U253" s="13" t="str">
        <f t="shared" si="16"/>
        <v>我長大以後想當老師</v>
      </c>
      <c r="V253" s="13" t="str">
        <f t="shared" si="17"/>
        <v>長大/以後/想/做/老師</v>
      </c>
      <c r="W253" s="13" t="str">
        <f t="shared" si="18"/>
        <v>是</v>
      </c>
      <c r="X253" s="13" t="str">
        <f t="shared" si="19"/>
        <v>通過</v>
      </c>
    </row>
    <row r="254" spans="1:24" ht="34" customHeight="1">
      <c r="A254" s="11" t="s">
        <v>1533</v>
      </c>
      <c r="B254" s="11" t="s">
        <v>1533</v>
      </c>
      <c r="C254" s="11" t="s">
        <v>54</v>
      </c>
      <c r="D254" s="11" t="s">
        <v>1534</v>
      </c>
      <c r="E254" s="11" t="s">
        <v>1535</v>
      </c>
      <c r="F254" s="11" t="s">
        <v>1536</v>
      </c>
      <c r="G254" s="11" t="s">
        <v>58</v>
      </c>
      <c r="H254" s="11" t="s">
        <v>1537</v>
      </c>
      <c r="I254" s="11" t="s">
        <v>1538</v>
      </c>
      <c r="J254" s="12" t="s">
        <v>8</v>
      </c>
      <c r="K254" s="12"/>
      <c r="L254" s="12"/>
      <c r="M254" s="12"/>
      <c r="N254" s="12"/>
      <c r="O254" s="12" t="s">
        <v>60</v>
      </c>
      <c r="P254" s="12"/>
      <c r="Q254" s="12"/>
      <c r="R254" s="12"/>
      <c r="S254" s="12"/>
      <c r="T254" s="13" t="str">
        <f t="shared" si="15"/>
        <v>通過</v>
      </c>
      <c r="U254" s="13" t="str">
        <f t="shared" si="16"/>
        <v>你在這裡等我</v>
      </c>
      <c r="V254" s="13" t="str">
        <f t="shared" si="17"/>
        <v>你/這/等</v>
      </c>
      <c r="W254" s="13" t="str">
        <f t="shared" si="18"/>
        <v>是</v>
      </c>
      <c r="X254" s="13" t="str">
        <f t="shared" si="19"/>
        <v>通過</v>
      </c>
    </row>
    <row r="255" spans="1:24" ht="34" customHeight="1">
      <c r="A255" s="11" t="s">
        <v>1539</v>
      </c>
      <c r="B255" s="11" t="s">
        <v>1539</v>
      </c>
      <c r="C255" s="11" t="s">
        <v>54</v>
      </c>
      <c r="D255" s="11" t="s">
        <v>1540</v>
      </c>
      <c r="E255" s="11" t="s">
        <v>1541</v>
      </c>
      <c r="F255" s="11" t="s">
        <v>1542</v>
      </c>
      <c r="G255" s="11" t="s">
        <v>58</v>
      </c>
      <c r="H255" s="11" t="s">
        <v>1543</v>
      </c>
      <c r="I255" s="11" t="s">
        <v>1544</v>
      </c>
      <c r="J255" s="12" t="s">
        <v>8</v>
      </c>
      <c r="K255" s="12"/>
      <c r="L255" s="12"/>
      <c r="M255" s="12"/>
      <c r="N255" s="12"/>
      <c r="O255" s="12" t="s">
        <v>60</v>
      </c>
      <c r="P255" s="12"/>
      <c r="Q255" s="12"/>
      <c r="R255" s="12"/>
      <c r="S255" s="12"/>
      <c r="T255" s="13" t="str">
        <f t="shared" si="15"/>
        <v>通過</v>
      </c>
      <c r="U255" s="13" t="str">
        <f t="shared" si="16"/>
        <v>他有賴床的習慣</v>
      </c>
      <c r="V255" s="13" t="str">
        <f t="shared" si="17"/>
        <v>他/習慣/什麼/床/睡</v>
      </c>
      <c r="W255" s="13" t="str">
        <f t="shared" si="18"/>
        <v>是</v>
      </c>
      <c r="X255" s="13" t="str">
        <f t="shared" si="19"/>
        <v>通過</v>
      </c>
    </row>
    <row r="256" spans="1:24" ht="34" customHeight="1">
      <c r="A256" s="11" t="s">
        <v>1545</v>
      </c>
      <c r="B256" s="11" t="s">
        <v>1545</v>
      </c>
      <c r="C256" s="11" t="s">
        <v>54</v>
      </c>
      <c r="D256" s="11" t="s">
        <v>1540</v>
      </c>
      <c r="E256" s="11" t="s">
        <v>1546</v>
      </c>
      <c r="F256" s="11" t="s">
        <v>1547</v>
      </c>
      <c r="G256" s="11" t="s">
        <v>58</v>
      </c>
      <c r="H256" s="11" t="s">
        <v>1548</v>
      </c>
      <c r="I256" s="11" t="s">
        <v>1549</v>
      </c>
      <c r="J256" s="12" t="s">
        <v>3258</v>
      </c>
      <c r="K256" s="12" t="s">
        <v>3262</v>
      </c>
      <c r="L256" s="12"/>
      <c r="M256" s="12" t="s">
        <v>3263</v>
      </c>
      <c r="N256" s="12" t="s">
        <v>3264</v>
      </c>
      <c r="O256" s="12" t="s">
        <v>3250</v>
      </c>
      <c r="P256" s="12"/>
      <c r="Q256" s="12"/>
      <c r="R256" s="12"/>
      <c r="S256" s="12"/>
      <c r="T256" s="13" t="str">
        <f t="shared" si="15"/>
        <v>需更正</v>
      </c>
      <c r="U256" s="13" t="str">
        <f t="shared" si="16"/>
        <v>每個國家都有他們的習慣</v>
      </c>
      <c r="V256" s="13" t="str">
        <f t="shared" si="17"/>
        <v>每/國家/地方/有/習慣_N/有</v>
      </c>
      <c r="W256" s="13" t="str">
        <f t="shared" si="18"/>
        <v>是</v>
      </c>
      <c r="X256" s="13" t="str">
        <f t="shared" si="19"/>
        <v>通過</v>
      </c>
    </row>
    <row r="257" spans="1:24" ht="34" customHeight="1">
      <c r="A257" s="11" t="s">
        <v>1550</v>
      </c>
      <c r="B257" s="11" t="s">
        <v>1550</v>
      </c>
      <c r="C257" s="11" t="s">
        <v>54</v>
      </c>
      <c r="D257" s="11" t="s">
        <v>1551</v>
      </c>
      <c r="E257" s="11" t="s">
        <v>1552</v>
      </c>
      <c r="F257" s="11" t="s">
        <v>1553</v>
      </c>
      <c r="G257" s="11" t="s">
        <v>58</v>
      </c>
      <c r="H257" s="11" t="s">
        <v>1554</v>
      </c>
      <c r="I257" s="11" t="s">
        <v>1555</v>
      </c>
      <c r="J257" s="12" t="s">
        <v>8</v>
      </c>
      <c r="K257" s="12"/>
      <c r="L257" s="12"/>
      <c r="M257" s="12"/>
      <c r="N257" s="12"/>
      <c r="O257" s="12" t="s">
        <v>60</v>
      </c>
      <c r="P257" s="12"/>
      <c r="Q257" s="12"/>
      <c r="R257" s="12"/>
      <c r="S257" s="12"/>
      <c r="T257" s="13" t="str">
        <f t="shared" si="15"/>
        <v>通過</v>
      </c>
      <c r="U257" s="13" t="str">
        <f t="shared" si="16"/>
        <v>他把頭髮染成金色</v>
      </c>
      <c r="V257" s="13" t="str">
        <f t="shared" si="17"/>
        <v>他/頭髮/顏色/變/金/色_A</v>
      </c>
      <c r="W257" s="13" t="str">
        <f t="shared" si="18"/>
        <v>是</v>
      </c>
      <c r="X257" s="13" t="str">
        <f t="shared" si="19"/>
        <v>通過</v>
      </c>
    </row>
    <row r="258" spans="1:24" ht="34" customHeight="1">
      <c r="A258" s="11" t="s">
        <v>1556</v>
      </c>
      <c r="B258" s="11" t="s">
        <v>1556</v>
      </c>
      <c r="C258" s="11" t="s">
        <v>54</v>
      </c>
      <c r="D258" s="11" t="s">
        <v>1557</v>
      </c>
      <c r="E258" s="11" t="s">
        <v>1558</v>
      </c>
      <c r="F258" s="11" t="s">
        <v>1559</v>
      </c>
      <c r="G258" s="11" t="s">
        <v>58</v>
      </c>
      <c r="H258" s="11" t="s">
        <v>1560</v>
      </c>
      <c r="I258" s="11" t="s">
        <v>1561</v>
      </c>
      <c r="J258" s="12" t="s">
        <v>8</v>
      </c>
      <c r="K258" s="12"/>
      <c r="L258" s="12"/>
      <c r="M258" s="12"/>
      <c r="N258" s="12"/>
      <c r="O258" s="12" t="s">
        <v>60</v>
      </c>
      <c r="P258" s="12"/>
      <c r="Q258" s="12"/>
      <c r="R258" s="12"/>
      <c r="S258" s="12"/>
      <c r="T258" s="13" t="str">
        <f t="shared" ref="T258:T321" si="20">IF(J258="","未填",IF(J258="需複審",IF(OR(P258="",P258="仍需複審"),"待複審",P258),J258))</f>
        <v>通過</v>
      </c>
      <c r="U258" s="13" t="str">
        <f t="shared" ref="U258:U321" si="21">IF(T258="通過",E258,IF(T258="需更正",IF(J258="需複審",IF(Q258="",E258,Q258),IF(L258="",E258,L258)),""))</f>
        <v>你喜歡吃漢堡嗎</v>
      </c>
      <c r="V258" s="13" t="str">
        <f t="shared" ref="V258:V321" si="22">IF(T258="通過",F258,IF(T258="需更正",IF(J258="需複審",R258,M258),""))</f>
        <v>漢堡/吃/你/喜歡</v>
      </c>
      <c r="W258" s="13" t="str">
        <f t="shared" ref="W258:W321" si="23">IF(AND(OR(T258="通過",AND(T258="需更正",V258&lt;&gt;"")),X258="通過"),"是","否")</f>
        <v>是</v>
      </c>
      <c r="X258" s="13" t="str">
        <f t="shared" ref="X258:X321" si="24">IF(J258="","未填",IF(AND(J258="需複審",OR(P258="",P258="仍需複審")),"待複審",IF(OR(AND(J258="需更正",K258=""),AND(J258="需更正",M258=""),AND(J258="需更正",N258=""),AND(J258="排除",OR(K258="",N258="")),AND(J258="需複審",P258="需更正",R258=""),AND(J258="需複審",P258="需更正",S258=""),AND(J258="需複審",P258="排除",S258="")),"錯誤：請補齊必填欄位","通過")))</f>
        <v>通過</v>
      </c>
    </row>
    <row r="259" spans="1:24" ht="34" customHeight="1">
      <c r="A259" s="11" t="s">
        <v>1562</v>
      </c>
      <c r="B259" s="11" t="s">
        <v>1562</v>
      </c>
      <c r="C259" s="11" t="s">
        <v>54</v>
      </c>
      <c r="D259" s="11" t="s">
        <v>1563</v>
      </c>
      <c r="E259" s="11" t="s">
        <v>1564</v>
      </c>
      <c r="F259" s="11" t="s">
        <v>1565</v>
      </c>
      <c r="G259" s="11" t="s">
        <v>58</v>
      </c>
      <c r="H259" s="11" t="s">
        <v>1566</v>
      </c>
      <c r="I259" s="11" t="s">
        <v>1567</v>
      </c>
      <c r="J259" s="12" t="s">
        <v>8</v>
      </c>
      <c r="K259" s="12"/>
      <c r="L259" s="12"/>
      <c r="M259" s="12"/>
      <c r="N259" s="12"/>
      <c r="O259" s="12" t="s">
        <v>60</v>
      </c>
      <c r="P259" s="12"/>
      <c r="Q259" s="12"/>
      <c r="R259" s="12"/>
      <c r="S259" s="12"/>
      <c r="T259" s="13" t="str">
        <f t="shared" si="20"/>
        <v>通過</v>
      </c>
      <c r="U259" s="13" t="str">
        <f t="shared" si="21"/>
        <v>他認真的樣子很帥</v>
      </c>
      <c r="V259" s="13" t="str">
        <f t="shared" si="22"/>
        <v>他/認真/臉/認真/英俊/棒</v>
      </c>
      <c r="W259" s="13" t="str">
        <f t="shared" si="23"/>
        <v>是</v>
      </c>
      <c r="X259" s="13" t="str">
        <f t="shared" si="24"/>
        <v>通過</v>
      </c>
    </row>
    <row r="260" spans="1:24" ht="34" customHeight="1">
      <c r="A260" s="11" t="s">
        <v>1568</v>
      </c>
      <c r="B260" s="11" t="s">
        <v>1568</v>
      </c>
      <c r="C260" s="11" t="s">
        <v>54</v>
      </c>
      <c r="D260" s="11" t="s">
        <v>1569</v>
      </c>
      <c r="E260" s="11" t="s">
        <v>1570</v>
      </c>
      <c r="F260" s="11" t="s">
        <v>1571</v>
      </c>
      <c r="G260" s="11" t="s">
        <v>58</v>
      </c>
      <c r="H260" s="11" t="s">
        <v>1572</v>
      </c>
      <c r="I260" s="11" t="s">
        <v>1573</v>
      </c>
      <c r="J260" s="12" t="s">
        <v>8</v>
      </c>
      <c r="K260" s="12"/>
      <c r="L260" s="12"/>
      <c r="M260" s="12"/>
      <c r="N260" s="12"/>
      <c r="O260" s="12" t="s">
        <v>60</v>
      </c>
      <c r="P260" s="12"/>
      <c r="Q260" s="12"/>
      <c r="R260" s="12"/>
      <c r="S260" s="12"/>
      <c r="T260" s="13" t="str">
        <f t="shared" si="20"/>
        <v>通過</v>
      </c>
      <c r="U260" s="13" t="str">
        <f t="shared" si="21"/>
        <v>我很快樂</v>
      </c>
      <c r="V260" s="13" t="str">
        <f t="shared" si="22"/>
        <v>我/快樂</v>
      </c>
      <c r="W260" s="13" t="str">
        <f t="shared" si="23"/>
        <v>是</v>
      </c>
      <c r="X260" s="13" t="str">
        <f t="shared" si="24"/>
        <v>通過</v>
      </c>
    </row>
    <row r="261" spans="1:24" ht="34" customHeight="1">
      <c r="A261" s="11" t="s">
        <v>1574</v>
      </c>
      <c r="B261" s="11" t="s">
        <v>1574</v>
      </c>
      <c r="C261" s="11" t="s">
        <v>54</v>
      </c>
      <c r="D261" s="11" t="s">
        <v>1575</v>
      </c>
      <c r="E261" s="11" t="s">
        <v>1576</v>
      </c>
      <c r="F261" s="11" t="s">
        <v>1577</v>
      </c>
      <c r="G261" s="11" t="s">
        <v>58</v>
      </c>
      <c r="H261" s="11" t="s">
        <v>1578</v>
      </c>
      <c r="I261" s="11" t="s">
        <v>1579</v>
      </c>
      <c r="J261" s="12" t="s">
        <v>8</v>
      </c>
      <c r="K261" s="12"/>
      <c r="L261" s="12"/>
      <c r="M261" s="12"/>
      <c r="N261" s="12"/>
      <c r="O261" s="12" t="s">
        <v>60</v>
      </c>
      <c r="P261" s="12"/>
      <c r="Q261" s="12"/>
      <c r="R261" s="12"/>
      <c r="S261" s="12"/>
      <c r="T261" s="13" t="str">
        <f t="shared" si="20"/>
        <v>通過</v>
      </c>
      <c r="U261" s="13" t="str">
        <f t="shared" si="21"/>
        <v>我沒有錢</v>
      </c>
      <c r="V261" s="13" t="str">
        <f t="shared" si="22"/>
        <v>我/錢/沒有</v>
      </c>
      <c r="W261" s="13" t="str">
        <f t="shared" si="23"/>
        <v>是</v>
      </c>
      <c r="X261" s="13" t="str">
        <f t="shared" si="24"/>
        <v>通過</v>
      </c>
    </row>
    <row r="262" spans="1:24" ht="34" customHeight="1">
      <c r="A262" s="11" t="s">
        <v>1580</v>
      </c>
      <c r="B262" s="11" t="s">
        <v>1580</v>
      </c>
      <c r="C262" s="11" t="s">
        <v>54</v>
      </c>
      <c r="D262" s="11" t="s">
        <v>1581</v>
      </c>
      <c r="E262" s="11" t="s">
        <v>1582</v>
      </c>
      <c r="F262" s="11" t="s">
        <v>1583</v>
      </c>
      <c r="G262" s="11" t="s">
        <v>58</v>
      </c>
      <c r="H262" s="11" t="s">
        <v>1584</v>
      </c>
      <c r="I262" s="11" t="s">
        <v>1585</v>
      </c>
      <c r="J262" s="12" t="s">
        <v>8</v>
      </c>
      <c r="K262" s="12"/>
      <c r="L262" s="12"/>
      <c r="M262" s="12"/>
      <c r="N262" s="12"/>
      <c r="O262" s="12" t="s">
        <v>60</v>
      </c>
      <c r="P262" s="12"/>
      <c r="Q262" s="12"/>
      <c r="R262" s="12"/>
      <c r="S262" s="12"/>
      <c r="T262" s="13" t="str">
        <f t="shared" si="20"/>
        <v>通過</v>
      </c>
      <c r="U262" s="13" t="str">
        <f t="shared" si="21"/>
        <v>校長是個年輕人</v>
      </c>
      <c r="V262" s="13" t="str">
        <f t="shared" si="22"/>
        <v>校長/他/年輕人/他</v>
      </c>
      <c r="W262" s="13" t="str">
        <f t="shared" si="23"/>
        <v>是</v>
      </c>
      <c r="X262" s="13" t="str">
        <f t="shared" si="24"/>
        <v>通過</v>
      </c>
    </row>
    <row r="263" spans="1:24" ht="34" customHeight="1">
      <c r="A263" s="11" t="s">
        <v>1586</v>
      </c>
      <c r="B263" s="11" t="s">
        <v>1586</v>
      </c>
      <c r="C263" s="11" t="s">
        <v>54</v>
      </c>
      <c r="D263" s="11" t="s">
        <v>1587</v>
      </c>
      <c r="E263" s="11" t="s">
        <v>1588</v>
      </c>
      <c r="F263" s="11" t="s">
        <v>1589</v>
      </c>
      <c r="G263" s="11" t="s">
        <v>58</v>
      </c>
      <c r="H263" s="11" t="s">
        <v>1590</v>
      </c>
      <c r="I263" s="11" t="s">
        <v>1591</v>
      </c>
      <c r="J263" s="12" t="s">
        <v>8</v>
      </c>
      <c r="K263" s="12"/>
      <c r="L263" s="12"/>
      <c r="M263" s="12"/>
      <c r="N263" s="12"/>
      <c r="O263" s="12" t="s">
        <v>60</v>
      </c>
      <c r="P263" s="12"/>
      <c r="Q263" s="12"/>
      <c r="R263" s="12"/>
      <c r="S263" s="12"/>
      <c r="T263" s="13" t="str">
        <f t="shared" si="20"/>
        <v>通過</v>
      </c>
      <c r="U263" s="13" t="str">
        <f t="shared" si="21"/>
        <v>多運動可以保持健康</v>
      </c>
      <c r="V263" s="13" t="str">
        <f t="shared" si="22"/>
        <v>運動/多/身體/健康/依然</v>
      </c>
      <c r="W263" s="13" t="str">
        <f t="shared" si="23"/>
        <v>是</v>
      </c>
      <c r="X263" s="13" t="str">
        <f t="shared" si="24"/>
        <v>通過</v>
      </c>
    </row>
    <row r="264" spans="1:24" ht="34" customHeight="1">
      <c r="A264" s="11" t="s">
        <v>1592</v>
      </c>
      <c r="B264" s="11" t="s">
        <v>1592</v>
      </c>
      <c r="C264" s="11" t="s">
        <v>54</v>
      </c>
      <c r="D264" s="11" t="s">
        <v>1587</v>
      </c>
      <c r="E264" s="11" t="s">
        <v>1593</v>
      </c>
      <c r="F264" s="11" t="s">
        <v>1594</v>
      </c>
      <c r="G264" s="11" t="s">
        <v>58</v>
      </c>
      <c r="H264" s="11" t="s">
        <v>1595</v>
      </c>
      <c r="I264" s="11" t="s">
        <v>1596</v>
      </c>
      <c r="J264" s="12" t="s">
        <v>8</v>
      </c>
      <c r="K264" s="12"/>
      <c r="L264" s="12"/>
      <c r="M264" s="12"/>
      <c r="N264" s="12"/>
      <c r="O264" s="12" t="s">
        <v>60</v>
      </c>
      <c r="P264" s="12"/>
      <c r="Q264" s="12"/>
      <c r="R264" s="12"/>
      <c r="S264" s="12"/>
      <c r="T264" s="13" t="str">
        <f t="shared" si="20"/>
        <v>通過</v>
      </c>
      <c r="U264" s="13" t="str">
        <f t="shared" si="21"/>
        <v>一天一個蘋果，身體健康，不用去看醫生</v>
      </c>
      <c r="V264" s="13" t="str">
        <f t="shared" si="22"/>
        <v>一天/蘋果/一/顆/對/身體/健康/去/看/醫生/不用</v>
      </c>
      <c r="W264" s="13" t="str">
        <f t="shared" si="23"/>
        <v>是</v>
      </c>
      <c r="X264" s="13" t="str">
        <f t="shared" si="24"/>
        <v>通過</v>
      </c>
    </row>
    <row r="265" spans="1:24" ht="34" customHeight="1">
      <c r="A265" s="11" t="s">
        <v>1597</v>
      </c>
      <c r="B265" s="11" t="s">
        <v>1597</v>
      </c>
      <c r="C265" s="11" t="s">
        <v>54</v>
      </c>
      <c r="D265" s="11" t="s">
        <v>1598</v>
      </c>
      <c r="E265" s="11" t="s">
        <v>1599</v>
      </c>
      <c r="F265" s="11" t="s">
        <v>1600</v>
      </c>
      <c r="G265" s="11" t="s">
        <v>58</v>
      </c>
      <c r="H265" s="11" t="s">
        <v>1601</v>
      </c>
      <c r="I265" s="11" t="s">
        <v>1602</v>
      </c>
      <c r="J265" s="12" t="s">
        <v>8</v>
      </c>
      <c r="K265" s="12"/>
      <c r="L265" s="12"/>
      <c r="M265" s="12"/>
      <c r="N265" s="12"/>
      <c r="O265" s="12" t="s">
        <v>60</v>
      </c>
      <c r="P265" s="12"/>
      <c r="Q265" s="12"/>
      <c r="R265" s="12"/>
      <c r="S265" s="12"/>
      <c r="T265" s="13" t="str">
        <f t="shared" si="20"/>
        <v>通過</v>
      </c>
      <c r="U265" s="13" t="str">
        <f t="shared" si="21"/>
        <v>聽音樂是休閒之一</v>
      </c>
      <c r="V265" s="13" t="str">
        <f t="shared" si="22"/>
        <v>休息/消遣/什麼/這/聽/歌/是</v>
      </c>
      <c r="W265" s="13" t="str">
        <f t="shared" si="23"/>
        <v>是</v>
      </c>
      <c r="X265" s="13" t="str">
        <f t="shared" si="24"/>
        <v>通過</v>
      </c>
    </row>
    <row r="266" spans="1:24" ht="34" customHeight="1">
      <c r="A266" s="11" t="s">
        <v>1603</v>
      </c>
      <c r="B266" s="11" t="s">
        <v>1603</v>
      </c>
      <c r="C266" s="11" t="s">
        <v>54</v>
      </c>
      <c r="D266" s="11" t="s">
        <v>1604</v>
      </c>
      <c r="E266" s="11" t="s">
        <v>1605</v>
      </c>
      <c r="F266" s="11" t="s">
        <v>1606</v>
      </c>
      <c r="G266" s="11" t="s">
        <v>58</v>
      </c>
      <c r="H266" s="11" t="s">
        <v>1607</v>
      </c>
      <c r="I266" s="11" t="s">
        <v>1608</v>
      </c>
      <c r="J266" s="12" t="s">
        <v>8</v>
      </c>
      <c r="K266" s="12"/>
      <c r="L266" s="12"/>
      <c r="M266" s="12"/>
      <c r="N266" s="12"/>
      <c r="O266" s="12" t="s">
        <v>60</v>
      </c>
      <c r="P266" s="12"/>
      <c r="Q266" s="12"/>
      <c r="R266" s="12"/>
      <c r="S266" s="12"/>
      <c r="T266" s="13" t="str">
        <f t="shared" si="20"/>
        <v>通過</v>
      </c>
      <c r="U266" s="13" t="str">
        <f t="shared" si="21"/>
        <v>我的朋友心臟不好</v>
      </c>
      <c r="V266" s="13" t="str">
        <f t="shared" si="22"/>
        <v>我/朋友/心/心跳/不好</v>
      </c>
      <c r="W266" s="13" t="str">
        <f t="shared" si="23"/>
        <v>是</v>
      </c>
      <c r="X266" s="13" t="str">
        <f t="shared" si="24"/>
        <v>通過</v>
      </c>
    </row>
    <row r="267" spans="1:24" ht="34" customHeight="1">
      <c r="A267" s="11" t="s">
        <v>1609</v>
      </c>
      <c r="B267" s="11" t="s">
        <v>1609</v>
      </c>
      <c r="C267" s="11" t="s">
        <v>54</v>
      </c>
      <c r="D267" s="11" t="s">
        <v>1610</v>
      </c>
      <c r="E267" s="11" t="s">
        <v>1611</v>
      </c>
      <c r="F267" s="11" t="s">
        <v>1612</v>
      </c>
      <c r="G267" s="11" t="s">
        <v>58</v>
      </c>
      <c r="H267" s="11" t="s">
        <v>1613</v>
      </c>
      <c r="I267" s="11" t="s">
        <v>1614</v>
      </c>
      <c r="J267" s="12" t="s">
        <v>8</v>
      </c>
      <c r="K267" s="12"/>
      <c r="L267" s="12"/>
      <c r="M267" s="12"/>
      <c r="N267" s="12"/>
      <c r="O267" s="12" t="s">
        <v>60</v>
      </c>
      <c r="P267" s="12"/>
      <c r="Q267" s="12"/>
      <c r="R267" s="12"/>
      <c r="S267" s="12"/>
      <c r="T267" s="13" t="str">
        <f t="shared" si="20"/>
        <v>通過</v>
      </c>
      <c r="U267" s="13" t="str">
        <f t="shared" si="21"/>
        <v>女人的體重是秘密</v>
      </c>
      <c r="V267" s="13" t="str">
        <f t="shared" si="22"/>
        <v>女性團體/體重/秘密</v>
      </c>
      <c r="W267" s="13" t="str">
        <f t="shared" si="23"/>
        <v>是</v>
      </c>
      <c r="X267" s="13" t="str">
        <f t="shared" si="24"/>
        <v>通過</v>
      </c>
    </row>
    <row r="268" spans="1:24" ht="34" customHeight="1">
      <c r="A268" s="11" t="s">
        <v>1615</v>
      </c>
      <c r="B268" s="11" t="s">
        <v>1615</v>
      </c>
      <c r="C268" s="11" t="s">
        <v>54</v>
      </c>
      <c r="D268" s="11" t="s">
        <v>1616</v>
      </c>
      <c r="E268" s="11" t="s">
        <v>1617</v>
      </c>
      <c r="F268" s="11" t="s">
        <v>1618</v>
      </c>
      <c r="G268" s="11" t="s">
        <v>58</v>
      </c>
      <c r="H268" s="11" t="s">
        <v>1619</v>
      </c>
      <c r="I268" s="11" t="s">
        <v>1620</v>
      </c>
      <c r="J268" s="12" t="s">
        <v>8</v>
      </c>
      <c r="K268" s="12"/>
      <c r="L268" s="12"/>
      <c r="M268" s="12"/>
      <c r="N268" s="12"/>
      <c r="O268" s="12" t="s">
        <v>60</v>
      </c>
      <c r="P268" s="12"/>
      <c r="Q268" s="12"/>
      <c r="R268" s="12"/>
      <c r="S268" s="12"/>
      <c r="T268" s="13" t="str">
        <f t="shared" si="20"/>
        <v>通過</v>
      </c>
      <c r="U268" s="13" t="str">
        <f t="shared" si="21"/>
        <v>請幫我拿東西過來</v>
      </c>
      <c r="V268" s="13" t="str">
        <f t="shared" si="22"/>
        <v>東西/幫我/拿</v>
      </c>
      <c r="W268" s="13" t="str">
        <f t="shared" si="23"/>
        <v>是</v>
      </c>
      <c r="X268" s="13" t="str">
        <f t="shared" si="24"/>
        <v>通過</v>
      </c>
    </row>
    <row r="269" spans="1:24" ht="34" customHeight="1">
      <c r="A269" s="11" t="s">
        <v>1621</v>
      </c>
      <c r="B269" s="11" t="s">
        <v>1621</v>
      </c>
      <c r="C269" s="11" t="s">
        <v>54</v>
      </c>
      <c r="D269" s="11" t="s">
        <v>1622</v>
      </c>
      <c r="E269" s="11" t="s">
        <v>1623</v>
      </c>
      <c r="F269" s="11" t="s">
        <v>1624</v>
      </c>
      <c r="G269" s="11" t="s">
        <v>58</v>
      </c>
      <c r="H269" s="11" t="s">
        <v>1625</v>
      </c>
      <c r="I269" s="11" t="s">
        <v>1626</v>
      </c>
      <c r="J269" s="12" t="s">
        <v>8</v>
      </c>
      <c r="K269" s="12"/>
      <c r="L269" s="12"/>
      <c r="M269" s="12"/>
      <c r="N269" s="12"/>
      <c r="O269" s="12" t="s">
        <v>60</v>
      </c>
      <c r="P269" s="12"/>
      <c r="Q269" s="12"/>
      <c r="R269" s="12"/>
      <c r="S269" s="12"/>
      <c r="T269" s="13" t="str">
        <f t="shared" si="20"/>
        <v>通過</v>
      </c>
      <c r="U269" s="13" t="str">
        <f t="shared" si="21"/>
        <v>他的狗被車撞了，他著急得哭了</v>
      </c>
      <c r="V269" s="13" t="str">
        <f t="shared" si="22"/>
        <v>他/屬於他/狗/被車撞/他/著急/哭</v>
      </c>
      <c r="W269" s="13" t="str">
        <f t="shared" si="23"/>
        <v>是</v>
      </c>
      <c r="X269" s="13" t="str">
        <f t="shared" si="24"/>
        <v>通過</v>
      </c>
    </row>
    <row r="270" spans="1:24" ht="34" customHeight="1">
      <c r="A270" s="11" t="s">
        <v>1627</v>
      </c>
      <c r="B270" s="11" t="s">
        <v>1627</v>
      </c>
      <c r="C270" s="11" t="s">
        <v>54</v>
      </c>
      <c r="D270" s="11" t="s">
        <v>1628</v>
      </c>
      <c r="E270" s="11" t="s">
        <v>1629</v>
      </c>
      <c r="F270" s="11" t="s">
        <v>1630</v>
      </c>
      <c r="G270" s="11" t="s">
        <v>58</v>
      </c>
      <c r="H270" s="11" t="s">
        <v>1631</v>
      </c>
      <c r="I270" s="11" t="s">
        <v>1632</v>
      </c>
      <c r="J270" s="12" t="s">
        <v>8</v>
      </c>
      <c r="K270" s="12"/>
      <c r="L270" s="12"/>
      <c r="M270" s="12"/>
      <c r="N270" s="12"/>
      <c r="O270" s="12" t="s">
        <v>60</v>
      </c>
      <c r="P270" s="12"/>
      <c r="Q270" s="12"/>
      <c r="R270" s="12"/>
      <c r="S270" s="12"/>
      <c r="T270" s="13" t="str">
        <f t="shared" si="20"/>
        <v>通過</v>
      </c>
      <c r="U270" s="13" t="str">
        <f t="shared" si="21"/>
        <v>我以後希望當老師</v>
      </c>
      <c r="V270" s="13" t="str">
        <f t="shared" si="22"/>
        <v>我/以後/希望/做/老師</v>
      </c>
      <c r="W270" s="13" t="str">
        <f t="shared" si="23"/>
        <v>是</v>
      </c>
      <c r="X270" s="13" t="str">
        <f t="shared" si="24"/>
        <v>通過</v>
      </c>
    </row>
    <row r="271" spans="1:24" ht="34" customHeight="1">
      <c r="A271" s="11" t="s">
        <v>1633</v>
      </c>
      <c r="B271" s="11" t="s">
        <v>1633</v>
      </c>
      <c r="C271" s="11" t="s">
        <v>54</v>
      </c>
      <c r="D271" s="11" t="s">
        <v>1628</v>
      </c>
      <c r="E271" s="11" t="s">
        <v>1634</v>
      </c>
      <c r="F271" s="11" t="s">
        <v>1635</v>
      </c>
      <c r="G271" s="11" t="s">
        <v>58</v>
      </c>
      <c r="H271" s="11" t="s">
        <v>1636</v>
      </c>
      <c r="I271" s="11" t="s">
        <v>1637</v>
      </c>
      <c r="J271" s="12" t="s">
        <v>8</v>
      </c>
      <c r="K271" s="12"/>
      <c r="L271" s="12"/>
      <c r="M271" s="12"/>
      <c r="N271" s="12"/>
      <c r="O271" s="12" t="s">
        <v>60</v>
      </c>
      <c r="P271" s="12"/>
      <c r="Q271" s="12"/>
      <c r="R271" s="12"/>
      <c r="S271" s="12"/>
      <c r="T271" s="13" t="str">
        <f t="shared" si="20"/>
        <v>通過</v>
      </c>
      <c r="U271" s="13" t="str">
        <f t="shared" si="21"/>
        <v>希望明天是晴天</v>
      </c>
      <c r="V271" s="13" t="str">
        <f t="shared" si="22"/>
        <v>希望/明天/晴天</v>
      </c>
      <c r="W271" s="13" t="str">
        <f t="shared" si="23"/>
        <v>是</v>
      </c>
      <c r="X271" s="13" t="str">
        <f t="shared" si="24"/>
        <v>通過</v>
      </c>
    </row>
    <row r="272" spans="1:24" ht="34" customHeight="1">
      <c r="A272" s="11" t="s">
        <v>1638</v>
      </c>
      <c r="B272" s="11" t="s">
        <v>1638</v>
      </c>
      <c r="C272" s="11" t="s">
        <v>54</v>
      </c>
      <c r="D272" s="11" t="s">
        <v>1639</v>
      </c>
      <c r="E272" s="11" t="s">
        <v>1640</v>
      </c>
      <c r="F272" s="11" t="s">
        <v>1641</v>
      </c>
      <c r="G272" s="11" t="s">
        <v>58</v>
      </c>
      <c r="H272" s="11" t="s">
        <v>1642</v>
      </c>
      <c r="I272" s="11" t="s">
        <v>1643</v>
      </c>
      <c r="J272" s="12" t="s">
        <v>8</v>
      </c>
      <c r="K272" s="12"/>
      <c r="L272" s="12"/>
      <c r="M272" s="12"/>
      <c r="N272" s="12"/>
      <c r="O272" s="12" t="s">
        <v>60</v>
      </c>
      <c r="P272" s="12"/>
      <c r="Q272" s="12"/>
      <c r="R272" s="12"/>
      <c r="S272" s="12"/>
      <c r="T272" s="13" t="str">
        <f t="shared" si="20"/>
        <v>通過</v>
      </c>
      <c r="U272" s="13" t="str">
        <f t="shared" si="21"/>
        <v>國王有很多匹馬</v>
      </c>
      <c r="V272" s="13" t="str">
        <f t="shared" si="22"/>
        <v>國王/那/馬/數量/多</v>
      </c>
      <c r="W272" s="13" t="str">
        <f t="shared" si="23"/>
        <v>是</v>
      </c>
      <c r="X272" s="13" t="str">
        <f t="shared" si="24"/>
        <v>通過</v>
      </c>
    </row>
    <row r="273" spans="1:24" ht="34" customHeight="1">
      <c r="A273" s="11" t="s">
        <v>1644</v>
      </c>
      <c r="B273" s="11" t="s">
        <v>1644</v>
      </c>
      <c r="C273" s="11" t="s">
        <v>54</v>
      </c>
      <c r="D273" s="11" t="s">
        <v>1645</v>
      </c>
      <c r="E273" s="11" t="s">
        <v>1646</v>
      </c>
      <c r="F273" s="11" t="s">
        <v>1647</v>
      </c>
      <c r="G273" s="11" t="s">
        <v>58</v>
      </c>
      <c r="H273" s="11" t="s">
        <v>1648</v>
      </c>
      <c r="I273" s="11" t="s">
        <v>1649</v>
      </c>
      <c r="J273" s="12" t="s">
        <v>8</v>
      </c>
      <c r="K273" s="12"/>
      <c r="L273" s="12"/>
      <c r="M273" s="12"/>
      <c r="N273" s="12"/>
      <c r="O273" s="12" t="s">
        <v>60</v>
      </c>
      <c r="P273" s="12"/>
      <c r="Q273" s="12"/>
      <c r="R273" s="12"/>
      <c r="S273" s="12"/>
      <c r="T273" s="13" t="str">
        <f t="shared" si="20"/>
        <v>通過</v>
      </c>
      <c r="U273" s="13" t="str">
        <f t="shared" si="21"/>
        <v>她昨天離開醫院</v>
      </c>
      <c r="V273" s="13" t="str">
        <f t="shared" si="22"/>
        <v>醫院/她/昨天/離開醫院</v>
      </c>
      <c r="W273" s="13" t="str">
        <f t="shared" si="23"/>
        <v>是</v>
      </c>
      <c r="X273" s="13" t="str">
        <f t="shared" si="24"/>
        <v>通過</v>
      </c>
    </row>
    <row r="274" spans="1:24" ht="34" customHeight="1">
      <c r="A274" s="11" t="s">
        <v>1650</v>
      </c>
      <c r="B274" s="11" t="s">
        <v>1650</v>
      </c>
      <c r="C274" s="11" t="s">
        <v>54</v>
      </c>
      <c r="D274" s="11" t="s">
        <v>1651</v>
      </c>
      <c r="E274" s="11" t="s">
        <v>1652</v>
      </c>
      <c r="F274" s="11" t="s">
        <v>1653</v>
      </c>
      <c r="G274" s="11" t="s">
        <v>58</v>
      </c>
      <c r="H274" s="11" t="s">
        <v>1654</v>
      </c>
      <c r="I274" s="11" t="s">
        <v>1655</v>
      </c>
      <c r="J274" s="12" t="s">
        <v>8</v>
      </c>
      <c r="K274" s="12"/>
      <c r="L274" s="12"/>
      <c r="M274" s="12"/>
      <c r="N274" s="12"/>
      <c r="O274" s="12" t="s">
        <v>60</v>
      </c>
      <c r="P274" s="12"/>
      <c r="Q274" s="12"/>
      <c r="R274" s="12"/>
      <c r="S274" s="12"/>
      <c r="T274" s="13" t="str">
        <f t="shared" si="20"/>
        <v>通過</v>
      </c>
      <c r="U274" s="13" t="str">
        <f t="shared" si="21"/>
        <v>今天天氣很熱</v>
      </c>
      <c r="V274" s="13" t="str">
        <f t="shared" si="22"/>
        <v>今天/天氣/熱</v>
      </c>
      <c r="W274" s="13" t="str">
        <f t="shared" si="23"/>
        <v>是</v>
      </c>
      <c r="X274" s="13" t="str">
        <f t="shared" si="24"/>
        <v>通過</v>
      </c>
    </row>
    <row r="275" spans="1:24" ht="34" customHeight="1">
      <c r="A275" s="11" t="s">
        <v>1656</v>
      </c>
      <c r="B275" s="11" t="s">
        <v>1656</v>
      </c>
      <c r="C275" s="11" t="s">
        <v>54</v>
      </c>
      <c r="D275" s="11" t="s">
        <v>1651</v>
      </c>
      <c r="E275" s="11" t="s">
        <v>1657</v>
      </c>
      <c r="F275" s="11" t="s">
        <v>1658</v>
      </c>
      <c r="G275" s="11" t="s">
        <v>58</v>
      </c>
      <c r="H275" s="11" t="s">
        <v>1659</v>
      </c>
      <c r="I275" s="11" t="s">
        <v>1660</v>
      </c>
      <c r="J275" s="12" t="s">
        <v>8</v>
      </c>
      <c r="K275" s="12"/>
      <c r="L275" s="12"/>
      <c r="M275" s="12"/>
      <c r="N275" s="12"/>
      <c r="O275" s="12" t="s">
        <v>60</v>
      </c>
      <c r="P275" s="12"/>
      <c r="Q275" s="12"/>
      <c r="R275" s="12"/>
      <c r="S275" s="12"/>
      <c r="T275" s="13" t="str">
        <f t="shared" si="20"/>
        <v>通過</v>
      </c>
      <c r="U275" s="13" t="str">
        <f t="shared" si="21"/>
        <v>夏天蚊蟲很多</v>
      </c>
      <c r="V275" s="13" t="str">
        <f t="shared" si="22"/>
        <v>夏天/夏天/蚊子/多</v>
      </c>
      <c r="W275" s="13" t="str">
        <f t="shared" si="23"/>
        <v>是</v>
      </c>
      <c r="X275" s="13" t="str">
        <f t="shared" si="24"/>
        <v>通過</v>
      </c>
    </row>
    <row r="276" spans="1:24" ht="34" customHeight="1">
      <c r="A276" s="11" t="s">
        <v>1661</v>
      </c>
      <c r="B276" s="11" t="s">
        <v>1661</v>
      </c>
      <c r="C276" s="11" t="s">
        <v>54</v>
      </c>
      <c r="D276" s="11" t="s">
        <v>1662</v>
      </c>
      <c r="E276" s="11" t="s">
        <v>1663</v>
      </c>
      <c r="F276" s="11" t="s">
        <v>1664</v>
      </c>
      <c r="G276" s="11" t="s">
        <v>58</v>
      </c>
      <c r="H276" s="11" t="s">
        <v>1665</v>
      </c>
      <c r="I276" s="11" t="s">
        <v>1666</v>
      </c>
      <c r="J276" s="12" t="s">
        <v>8</v>
      </c>
      <c r="K276" s="12"/>
      <c r="L276" s="12"/>
      <c r="M276" s="12"/>
      <c r="N276" s="12"/>
      <c r="O276" s="12" t="s">
        <v>60</v>
      </c>
      <c r="P276" s="12"/>
      <c r="Q276" s="12"/>
      <c r="R276" s="12"/>
      <c r="S276" s="12"/>
      <c r="T276" s="13" t="str">
        <f t="shared" si="20"/>
        <v>通過</v>
      </c>
      <c r="U276" s="13" t="str">
        <f t="shared" si="21"/>
        <v>這間屋子很漂亮</v>
      </c>
      <c r="V276" s="13" t="str">
        <f t="shared" si="22"/>
        <v>這/屋子/漂亮</v>
      </c>
      <c r="W276" s="13" t="str">
        <f t="shared" si="23"/>
        <v>是</v>
      </c>
      <c r="X276" s="13" t="str">
        <f t="shared" si="24"/>
        <v>通過</v>
      </c>
    </row>
    <row r="277" spans="1:24" ht="34" customHeight="1">
      <c r="A277" s="11" t="s">
        <v>1667</v>
      </c>
      <c r="B277" s="11" t="s">
        <v>1667</v>
      </c>
      <c r="C277" s="11" t="s">
        <v>54</v>
      </c>
      <c r="D277" s="11" t="s">
        <v>1668</v>
      </c>
      <c r="E277" s="11" t="s">
        <v>1669</v>
      </c>
      <c r="F277" s="11" t="s">
        <v>1670</v>
      </c>
      <c r="G277" s="11" t="s">
        <v>58</v>
      </c>
      <c r="H277" s="11" t="s">
        <v>1671</v>
      </c>
      <c r="I277" s="11" t="s">
        <v>1672</v>
      </c>
      <c r="J277" s="12" t="s">
        <v>8</v>
      </c>
      <c r="K277" s="12"/>
      <c r="L277" s="12"/>
      <c r="M277" s="12"/>
      <c r="N277" s="12"/>
      <c r="O277" s="12" t="s">
        <v>60</v>
      </c>
      <c r="P277" s="12"/>
      <c r="Q277" s="12"/>
      <c r="R277" s="12"/>
      <c r="S277" s="12"/>
      <c r="T277" s="13" t="str">
        <f t="shared" si="20"/>
        <v>通過</v>
      </c>
      <c r="U277" s="13" t="str">
        <f t="shared" si="21"/>
        <v>姊姊已經30歲了</v>
      </c>
      <c r="V277" s="13" t="str">
        <f t="shared" si="22"/>
        <v>姊姊/年紀/30歲/超過</v>
      </c>
      <c r="W277" s="13" t="str">
        <f t="shared" si="23"/>
        <v>是</v>
      </c>
      <c r="X277" s="13" t="str">
        <f t="shared" si="24"/>
        <v>通過</v>
      </c>
    </row>
    <row r="278" spans="1:24" ht="34" customHeight="1">
      <c r="A278" s="11" t="s">
        <v>1673</v>
      </c>
      <c r="B278" s="11" t="s">
        <v>1673</v>
      </c>
      <c r="C278" s="11" t="s">
        <v>54</v>
      </c>
      <c r="D278" s="11" t="s">
        <v>1668</v>
      </c>
      <c r="E278" s="11" t="s">
        <v>1674</v>
      </c>
      <c r="F278" s="11" t="s">
        <v>1675</v>
      </c>
      <c r="G278" s="11" t="s">
        <v>58</v>
      </c>
      <c r="H278" s="11" t="s">
        <v>1676</v>
      </c>
      <c r="I278" s="11" t="s">
        <v>1677</v>
      </c>
      <c r="J278" s="12" t="s">
        <v>8</v>
      </c>
      <c r="K278" s="12"/>
      <c r="L278" s="12"/>
      <c r="M278" s="12"/>
      <c r="N278" s="12"/>
      <c r="O278" s="12" t="s">
        <v>60</v>
      </c>
      <c r="P278" s="12"/>
      <c r="Q278" s="12"/>
      <c r="R278" s="12"/>
      <c r="S278" s="12"/>
      <c r="T278" s="13" t="str">
        <f t="shared" si="20"/>
        <v>通過</v>
      </c>
      <c r="U278" s="13" t="str">
        <f t="shared" si="21"/>
        <v>他年紀大了身體不好</v>
      </c>
      <c r="V278" s="13" t="str">
        <f t="shared" si="22"/>
        <v>他/年紀/老/身體/不好</v>
      </c>
      <c r="W278" s="13" t="str">
        <f t="shared" si="23"/>
        <v>是</v>
      </c>
      <c r="X278" s="13" t="str">
        <f t="shared" si="24"/>
        <v>通過</v>
      </c>
    </row>
    <row r="279" spans="1:24" ht="34" customHeight="1">
      <c r="A279" s="11" t="s">
        <v>1678</v>
      </c>
      <c r="B279" s="11" t="s">
        <v>1678</v>
      </c>
      <c r="C279" s="11" t="s">
        <v>54</v>
      </c>
      <c r="D279" s="11" t="s">
        <v>1679</v>
      </c>
      <c r="E279" s="11" t="s">
        <v>1680</v>
      </c>
      <c r="F279" s="11" t="s">
        <v>1681</v>
      </c>
      <c r="G279" s="11" t="s">
        <v>58</v>
      </c>
      <c r="H279" s="11" t="s">
        <v>1682</v>
      </c>
      <c r="I279" s="11" t="s">
        <v>1683</v>
      </c>
      <c r="J279" s="12" t="s">
        <v>8</v>
      </c>
      <c r="K279" s="12"/>
      <c r="L279" s="12"/>
      <c r="M279" s="12"/>
      <c r="N279" s="12"/>
      <c r="O279" s="12" t="s">
        <v>60</v>
      </c>
      <c r="P279" s="12"/>
      <c r="Q279" s="12"/>
      <c r="R279" s="12"/>
      <c r="S279" s="12"/>
      <c r="T279" s="13" t="str">
        <f t="shared" si="20"/>
        <v>通過</v>
      </c>
      <c r="U279" s="13" t="str">
        <f t="shared" si="21"/>
        <v>請你來我家玩</v>
      </c>
      <c r="V279" s="13" t="str">
        <f t="shared" si="22"/>
        <v>我/家/來/玩</v>
      </c>
      <c r="W279" s="13" t="str">
        <f t="shared" si="23"/>
        <v>是</v>
      </c>
      <c r="X279" s="13" t="str">
        <f t="shared" si="24"/>
        <v>通過</v>
      </c>
    </row>
    <row r="280" spans="1:24" ht="34" customHeight="1">
      <c r="A280" s="11" t="s">
        <v>1684</v>
      </c>
      <c r="B280" s="11" t="s">
        <v>1684</v>
      </c>
      <c r="C280" s="11" t="s">
        <v>54</v>
      </c>
      <c r="D280" s="11" t="s">
        <v>1679</v>
      </c>
      <c r="E280" s="11" t="s">
        <v>1685</v>
      </c>
      <c r="F280" s="11" t="s">
        <v>1686</v>
      </c>
      <c r="G280" s="11" t="s">
        <v>58</v>
      </c>
      <c r="H280" s="11" t="s">
        <v>1687</v>
      </c>
      <c r="I280" s="11" t="s">
        <v>1688</v>
      </c>
      <c r="J280" s="12" t="s">
        <v>8</v>
      </c>
      <c r="K280" s="12"/>
      <c r="L280" s="12"/>
      <c r="M280" s="12"/>
      <c r="N280" s="12"/>
      <c r="O280" s="12" t="s">
        <v>60</v>
      </c>
      <c r="P280" s="12"/>
      <c r="Q280" s="12"/>
      <c r="R280" s="12"/>
      <c r="S280" s="12"/>
      <c r="T280" s="13" t="str">
        <f t="shared" si="20"/>
        <v>通過</v>
      </c>
      <c r="U280" s="13" t="str">
        <f t="shared" si="21"/>
        <v>我是學生</v>
      </c>
      <c r="V280" s="13" t="str">
        <f t="shared" si="22"/>
        <v>我/學生</v>
      </c>
      <c r="W280" s="13" t="str">
        <f t="shared" si="23"/>
        <v>是</v>
      </c>
      <c r="X280" s="13" t="str">
        <f t="shared" si="24"/>
        <v>通過</v>
      </c>
    </row>
    <row r="281" spans="1:24" ht="34" customHeight="1">
      <c r="A281" s="11" t="s">
        <v>1689</v>
      </c>
      <c r="B281" s="11" t="s">
        <v>1689</v>
      </c>
      <c r="C281" s="11" t="s">
        <v>54</v>
      </c>
      <c r="D281" s="11" t="s">
        <v>1690</v>
      </c>
      <c r="E281" s="11" t="s">
        <v>1691</v>
      </c>
      <c r="F281" s="11" t="s">
        <v>1692</v>
      </c>
      <c r="G281" s="11" t="s">
        <v>58</v>
      </c>
      <c r="H281" s="11" t="s">
        <v>1693</v>
      </c>
      <c r="I281" s="11" t="s">
        <v>1694</v>
      </c>
      <c r="J281" s="12" t="s">
        <v>8</v>
      </c>
      <c r="K281" s="12"/>
      <c r="L281" s="12"/>
      <c r="M281" s="12"/>
      <c r="N281" s="12"/>
      <c r="O281" s="12" t="s">
        <v>60</v>
      </c>
      <c r="P281" s="12"/>
      <c r="Q281" s="12"/>
      <c r="R281" s="12"/>
      <c r="S281" s="12"/>
      <c r="T281" s="13" t="str">
        <f t="shared" si="20"/>
        <v>通過</v>
      </c>
      <c r="U281" s="13" t="str">
        <f t="shared" si="21"/>
        <v>他每天游手好閒，大家都輕視他</v>
      </c>
      <c r="V281" s="13" t="str">
        <f t="shared" si="22"/>
        <v>他/每天/閒閒沒事/休閒/玩/他們/見他/輕視</v>
      </c>
      <c r="W281" s="13" t="str">
        <f t="shared" si="23"/>
        <v>是</v>
      </c>
      <c r="X281" s="13" t="str">
        <f t="shared" si="24"/>
        <v>通過</v>
      </c>
    </row>
    <row r="282" spans="1:24" ht="34" customHeight="1">
      <c r="A282" s="11" t="s">
        <v>1695</v>
      </c>
      <c r="B282" s="11" t="s">
        <v>1695</v>
      </c>
      <c r="C282" s="11" t="s">
        <v>54</v>
      </c>
      <c r="D282" s="11" t="s">
        <v>1696</v>
      </c>
      <c r="E282" s="11" t="s">
        <v>1697</v>
      </c>
      <c r="F282" s="11" t="s">
        <v>1698</v>
      </c>
      <c r="G282" s="11" t="s">
        <v>58</v>
      </c>
      <c r="H282" s="11" t="s">
        <v>1699</v>
      </c>
      <c r="I282" s="11" t="s">
        <v>1700</v>
      </c>
      <c r="J282" s="12" t="s">
        <v>8</v>
      </c>
      <c r="K282" s="12"/>
      <c r="L282" s="12"/>
      <c r="M282" s="12"/>
      <c r="N282" s="12"/>
      <c r="O282" s="12" t="s">
        <v>60</v>
      </c>
      <c r="P282" s="12"/>
      <c r="Q282" s="12"/>
      <c r="R282" s="12"/>
      <c r="S282" s="12"/>
      <c r="T282" s="13" t="str">
        <f t="shared" si="20"/>
        <v>通過</v>
      </c>
      <c r="U282" s="13" t="str">
        <f t="shared" si="21"/>
        <v>如果你不出席會議，記得要跟我說</v>
      </c>
      <c r="V282" s="13" t="str">
        <f t="shared" si="22"/>
        <v>如果/你/會議/參加/不要/你/記得/告訴我</v>
      </c>
      <c r="W282" s="13" t="str">
        <f t="shared" si="23"/>
        <v>是</v>
      </c>
      <c r="X282" s="13" t="str">
        <f t="shared" si="24"/>
        <v>通過</v>
      </c>
    </row>
    <row r="283" spans="1:24" ht="34" customHeight="1">
      <c r="A283" s="11" t="s">
        <v>1701</v>
      </c>
      <c r="B283" s="11" t="s">
        <v>1701</v>
      </c>
      <c r="C283" s="11" t="s">
        <v>54</v>
      </c>
      <c r="D283" s="11" t="s">
        <v>1702</v>
      </c>
      <c r="E283" s="11" t="s">
        <v>1703</v>
      </c>
      <c r="F283" s="11" t="s">
        <v>1704</v>
      </c>
      <c r="G283" s="11" t="s">
        <v>58</v>
      </c>
      <c r="H283" s="11" t="s">
        <v>1705</v>
      </c>
      <c r="I283" s="11" t="s">
        <v>1706</v>
      </c>
      <c r="J283" s="12" t="s">
        <v>8</v>
      </c>
      <c r="K283" s="12"/>
      <c r="L283" s="12"/>
      <c r="M283" s="12"/>
      <c r="N283" s="12"/>
      <c r="O283" s="12" t="s">
        <v>60</v>
      </c>
      <c r="P283" s="12"/>
      <c r="Q283" s="12"/>
      <c r="R283" s="12"/>
      <c r="S283" s="12"/>
      <c r="T283" s="13" t="str">
        <f t="shared" si="20"/>
        <v>通過</v>
      </c>
      <c r="U283" s="13" t="str">
        <f t="shared" si="21"/>
        <v>他正努力學習如何當爸爸</v>
      </c>
      <c r="V283" s="13" t="str">
        <f t="shared" si="22"/>
        <v>他/努力/正/學習/什麼/如何/做/爸爸</v>
      </c>
      <c r="W283" s="13" t="str">
        <f t="shared" si="23"/>
        <v>是</v>
      </c>
      <c r="X283" s="13" t="str">
        <f t="shared" si="24"/>
        <v>通過</v>
      </c>
    </row>
    <row r="284" spans="1:24" ht="34" customHeight="1">
      <c r="A284" s="11" t="s">
        <v>1707</v>
      </c>
      <c r="B284" s="11" t="s">
        <v>1707</v>
      </c>
      <c r="C284" s="11" t="s">
        <v>54</v>
      </c>
      <c r="D284" s="11" t="s">
        <v>1708</v>
      </c>
      <c r="E284" s="11" t="s">
        <v>1709</v>
      </c>
      <c r="F284" s="11" t="s">
        <v>1710</v>
      </c>
      <c r="G284" s="11" t="s">
        <v>58</v>
      </c>
      <c r="H284" s="11" t="s">
        <v>1711</v>
      </c>
      <c r="I284" s="11" t="s">
        <v>1712</v>
      </c>
      <c r="J284" s="12" t="s">
        <v>8</v>
      </c>
      <c r="K284" s="12"/>
      <c r="L284" s="12"/>
      <c r="M284" s="12"/>
      <c r="N284" s="12"/>
      <c r="O284" s="12" t="s">
        <v>60</v>
      </c>
      <c r="P284" s="12"/>
      <c r="Q284" s="12"/>
      <c r="R284" s="12"/>
      <c r="S284" s="12"/>
      <c r="T284" s="13" t="str">
        <f t="shared" si="20"/>
        <v>通過</v>
      </c>
      <c r="U284" s="13" t="str">
        <f t="shared" si="21"/>
        <v>爸爸催促我立刻上床睡覺</v>
      </c>
      <c r="V284" s="13" t="str">
        <f t="shared" si="22"/>
        <v>爸爸/催/立刻/去/睡覺</v>
      </c>
      <c r="W284" s="13" t="str">
        <f t="shared" si="23"/>
        <v>是</v>
      </c>
      <c r="X284" s="13" t="str">
        <f t="shared" si="24"/>
        <v>通過</v>
      </c>
    </row>
    <row r="285" spans="1:24" ht="34" customHeight="1">
      <c r="A285" s="11" t="s">
        <v>1713</v>
      </c>
      <c r="B285" s="11" t="s">
        <v>1713</v>
      </c>
      <c r="C285" s="11" t="s">
        <v>54</v>
      </c>
      <c r="D285" s="11" t="s">
        <v>1708</v>
      </c>
      <c r="E285" s="11" t="s">
        <v>1714</v>
      </c>
      <c r="F285" s="11" t="s">
        <v>1715</v>
      </c>
      <c r="G285" s="11" t="s">
        <v>58</v>
      </c>
      <c r="H285" s="11" t="s">
        <v>1716</v>
      </c>
      <c r="I285" s="11" t="s">
        <v>1717</v>
      </c>
      <c r="J285" s="12" t="s">
        <v>8</v>
      </c>
      <c r="K285" s="12"/>
      <c r="L285" s="12"/>
      <c r="M285" s="12"/>
      <c r="N285" s="12"/>
      <c r="O285" s="12" t="s">
        <v>60</v>
      </c>
      <c r="P285" s="12"/>
      <c r="Q285" s="12"/>
      <c r="R285" s="12"/>
      <c r="S285" s="12"/>
      <c r="T285" s="13" t="str">
        <f t="shared" si="20"/>
        <v>通過</v>
      </c>
      <c r="U285" s="13" t="str">
        <f t="shared" si="21"/>
        <v>爸爸要我馬上回家</v>
      </c>
      <c r="V285" s="13" t="str">
        <f t="shared" si="22"/>
        <v>爸爸/告訴我/馬上/回家/馬上</v>
      </c>
      <c r="W285" s="13" t="str">
        <f t="shared" si="23"/>
        <v>是</v>
      </c>
      <c r="X285" s="13" t="str">
        <f t="shared" si="24"/>
        <v>通過</v>
      </c>
    </row>
    <row r="286" spans="1:24" ht="34" customHeight="1">
      <c r="A286" s="11" t="s">
        <v>1718</v>
      </c>
      <c r="B286" s="11" t="s">
        <v>1718</v>
      </c>
      <c r="C286" s="11" t="s">
        <v>54</v>
      </c>
      <c r="D286" s="11" t="s">
        <v>1719</v>
      </c>
      <c r="E286" s="11" t="s">
        <v>1720</v>
      </c>
      <c r="F286" s="11" t="s">
        <v>1721</v>
      </c>
      <c r="G286" s="11" t="s">
        <v>58</v>
      </c>
      <c r="H286" s="11" t="s">
        <v>1722</v>
      </c>
      <c r="I286" s="11" t="s">
        <v>1723</v>
      </c>
      <c r="J286" s="12" t="s">
        <v>8</v>
      </c>
      <c r="K286" s="12"/>
      <c r="L286" s="12"/>
      <c r="M286" s="12"/>
      <c r="N286" s="12"/>
      <c r="O286" s="12" t="s">
        <v>60</v>
      </c>
      <c r="P286" s="12"/>
      <c r="Q286" s="12"/>
      <c r="R286" s="12"/>
      <c r="S286" s="12"/>
      <c r="T286" s="13" t="str">
        <f t="shared" si="20"/>
        <v>通過</v>
      </c>
      <c r="U286" s="13" t="str">
        <f t="shared" si="21"/>
        <v>也許明天會下雨</v>
      </c>
      <c r="V286" s="13" t="str">
        <f t="shared" si="22"/>
        <v>明天/下雨/也許/會</v>
      </c>
      <c r="W286" s="13" t="str">
        <f t="shared" si="23"/>
        <v>是</v>
      </c>
      <c r="X286" s="13" t="str">
        <f t="shared" si="24"/>
        <v>通過</v>
      </c>
    </row>
    <row r="287" spans="1:24" ht="34" customHeight="1">
      <c r="A287" s="11" t="s">
        <v>1724</v>
      </c>
      <c r="B287" s="11" t="s">
        <v>1724</v>
      </c>
      <c r="C287" s="11" t="s">
        <v>54</v>
      </c>
      <c r="D287" s="11" t="s">
        <v>1725</v>
      </c>
      <c r="E287" s="11" t="s">
        <v>1726</v>
      </c>
      <c r="F287" s="11" t="s">
        <v>1727</v>
      </c>
      <c r="G287" s="11" t="s">
        <v>58</v>
      </c>
      <c r="H287" s="11" t="s">
        <v>1728</v>
      </c>
      <c r="I287" s="11" t="s">
        <v>1729</v>
      </c>
      <c r="J287" s="12" t="s">
        <v>8</v>
      </c>
      <c r="K287" s="12"/>
      <c r="L287" s="12"/>
      <c r="M287" s="12"/>
      <c r="N287" s="12"/>
      <c r="O287" s="12" t="s">
        <v>60</v>
      </c>
      <c r="P287" s="12"/>
      <c r="Q287" s="12"/>
      <c r="R287" s="12"/>
      <c r="S287" s="12"/>
      <c r="T287" s="13" t="str">
        <f t="shared" si="20"/>
        <v>通過</v>
      </c>
      <c r="U287" s="13" t="str">
        <f t="shared" si="21"/>
        <v>中場休息三十分鐘</v>
      </c>
      <c r="V287" s="13" t="str">
        <f t="shared" si="22"/>
        <v>介入(中間)/休息/三十分鐘</v>
      </c>
      <c r="W287" s="13" t="str">
        <f t="shared" si="23"/>
        <v>是</v>
      </c>
      <c r="X287" s="13" t="str">
        <f t="shared" si="24"/>
        <v>通過</v>
      </c>
    </row>
    <row r="288" spans="1:24" ht="34" customHeight="1">
      <c r="A288" s="11" t="s">
        <v>1730</v>
      </c>
      <c r="B288" s="11" t="s">
        <v>1730</v>
      </c>
      <c r="C288" s="11" t="s">
        <v>54</v>
      </c>
      <c r="D288" s="11" t="s">
        <v>1731</v>
      </c>
      <c r="E288" s="11" t="s">
        <v>1732</v>
      </c>
      <c r="F288" s="11" t="s">
        <v>1733</v>
      </c>
      <c r="G288" s="11" t="s">
        <v>58</v>
      </c>
      <c r="H288" s="11" t="s">
        <v>1734</v>
      </c>
      <c r="I288" s="11" t="s">
        <v>1735</v>
      </c>
      <c r="J288" s="12" t="s">
        <v>10</v>
      </c>
      <c r="K288" s="12" t="s">
        <v>3243</v>
      </c>
      <c r="L288" s="12"/>
      <c r="M288" s="12" t="s">
        <v>3265</v>
      </c>
      <c r="N288" s="12" t="s">
        <v>3266</v>
      </c>
      <c r="O288" s="12" t="s">
        <v>60</v>
      </c>
      <c r="P288" s="12"/>
      <c r="Q288" s="12"/>
      <c r="R288" s="12"/>
      <c r="S288" s="12"/>
      <c r="T288" s="13" t="str">
        <f t="shared" si="20"/>
        <v>需更正</v>
      </c>
      <c r="U288" s="13" t="str">
        <f t="shared" si="21"/>
        <v>請自我介紹一下</v>
      </c>
      <c r="V288" s="13" t="str">
        <f t="shared" si="22"/>
        <v>我_B/自己/介紹</v>
      </c>
      <c r="W288" s="13" t="str">
        <f t="shared" si="23"/>
        <v>是</v>
      </c>
      <c r="X288" s="13" t="str">
        <f t="shared" si="24"/>
        <v>通過</v>
      </c>
    </row>
    <row r="289" spans="1:24" ht="34" customHeight="1">
      <c r="A289" s="11" t="s">
        <v>1736</v>
      </c>
      <c r="B289" s="11" t="s">
        <v>1736</v>
      </c>
      <c r="C289" s="11" t="s">
        <v>54</v>
      </c>
      <c r="D289" s="11" t="s">
        <v>1737</v>
      </c>
      <c r="E289" s="11" t="s">
        <v>1738</v>
      </c>
      <c r="F289" s="11" t="s">
        <v>1739</v>
      </c>
      <c r="G289" s="11" t="s">
        <v>58</v>
      </c>
      <c r="H289" s="11" t="s">
        <v>1740</v>
      </c>
      <c r="I289" s="11" t="s">
        <v>1741</v>
      </c>
      <c r="J289" s="12" t="s">
        <v>8</v>
      </c>
      <c r="K289" s="12"/>
      <c r="L289" s="12"/>
      <c r="M289" s="12"/>
      <c r="N289" s="12"/>
      <c r="O289" s="12" t="s">
        <v>60</v>
      </c>
      <c r="P289" s="12"/>
      <c r="Q289" s="12"/>
      <c r="R289" s="12"/>
      <c r="S289" s="12"/>
      <c r="T289" s="13" t="str">
        <f t="shared" si="20"/>
        <v>通過</v>
      </c>
      <c r="U289" s="13" t="str">
        <f t="shared" si="21"/>
        <v>到台灣旅行，行李要經過檢查</v>
      </c>
      <c r="V289" s="13" t="str">
        <f t="shared" si="22"/>
        <v>台灣/旅遊/飛到/行李/檢查/翻箱倒櫃/要</v>
      </c>
      <c r="W289" s="13" t="str">
        <f t="shared" si="23"/>
        <v>是</v>
      </c>
      <c r="X289" s="13" t="str">
        <f t="shared" si="24"/>
        <v>通過</v>
      </c>
    </row>
    <row r="290" spans="1:24" ht="34" customHeight="1">
      <c r="A290" s="11" t="s">
        <v>1742</v>
      </c>
      <c r="B290" s="11" t="s">
        <v>1742</v>
      </c>
      <c r="C290" s="11" t="s">
        <v>54</v>
      </c>
      <c r="D290" s="11" t="s">
        <v>1743</v>
      </c>
      <c r="E290" s="11" t="s">
        <v>1744</v>
      </c>
      <c r="F290" s="11" t="s">
        <v>1745</v>
      </c>
      <c r="G290" s="11" t="s">
        <v>58</v>
      </c>
      <c r="H290" s="11" t="s">
        <v>1746</v>
      </c>
      <c r="I290" s="11" t="s">
        <v>1747</v>
      </c>
      <c r="J290" s="12" t="s">
        <v>8</v>
      </c>
      <c r="K290" s="12"/>
      <c r="L290" s="12"/>
      <c r="M290" s="12"/>
      <c r="N290" s="12"/>
      <c r="O290" s="12" t="s">
        <v>60</v>
      </c>
      <c r="P290" s="12"/>
      <c r="Q290" s="12"/>
      <c r="R290" s="12"/>
      <c r="S290" s="12"/>
      <c r="T290" s="13" t="str">
        <f t="shared" si="20"/>
        <v>通過</v>
      </c>
      <c r="U290" s="13" t="str">
        <f t="shared" si="21"/>
        <v>我答應他的邀請</v>
      </c>
      <c r="V290" s="13" t="str">
        <f t="shared" si="22"/>
        <v>他/邀請我/我/答應</v>
      </c>
      <c r="W290" s="13" t="str">
        <f t="shared" si="23"/>
        <v>是</v>
      </c>
      <c r="X290" s="13" t="str">
        <f t="shared" si="24"/>
        <v>通過</v>
      </c>
    </row>
    <row r="291" spans="1:24" ht="34" customHeight="1">
      <c r="A291" s="11" t="s">
        <v>1748</v>
      </c>
      <c r="B291" s="11" t="s">
        <v>1748</v>
      </c>
      <c r="C291" s="11" t="s">
        <v>54</v>
      </c>
      <c r="D291" s="11" t="s">
        <v>1749</v>
      </c>
      <c r="E291" s="11" t="s">
        <v>1750</v>
      </c>
      <c r="F291" s="11" t="s">
        <v>1751</v>
      </c>
      <c r="G291" s="11" t="s">
        <v>58</v>
      </c>
      <c r="H291" s="11" t="s">
        <v>1752</v>
      </c>
      <c r="I291" s="11" t="s">
        <v>1753</v>
      </c>
      <c r="J291" s="12" t="s">
        <v>8</v>
      </c>
      <c r="K291" s="12"/>
      <c r="L291" s="12"/>
      <c r="M291" s="12"/>
      <c r="N291" s="12"/>
      <c r="O291" s="12" t="s">
        <v>60</v>
      </c>
      <c r="P291" s="12"/>
      <c r="Q291" s="12"/>
      <c r="R291" s="12"/>
      <c r="S291" s="12"/>
      <c r="T291" s="13" t="str">
        <f t="shared" si="20"/>
        <v>通過</v>
      </c>
      <c r="U291" s="13" t="str">
        <f t="shared" si="21"/>
        <v>貓咪跳上了屋頂</v>
      </c>
      <c r="V291" s="13" t="str">
        <f t="shared" si="22"/>
        <v>屋子/屋頂/貓/跳到屋頂</v>
      </c>
      <c r="W291" s="13" t="str">
        <f t="shared" si="23"/>
        <v>是</v>
      </c>
      <c r="X291" s="13" t="str">
        <f t="shared" si="24"/>
        <v>通過</v>
      </c>
    </row>
    <row r="292" spans="1:24" ht="34" customHeight="1">
      <c r="A292" s="11" t="s">
        <v>1754</v>
      </c>
      <c r="B292" s="11" t="s">
        <v>1754</v>
      </c>
      <c r="C292" s="11" t="s">
        <v>54</v>
      </c>
      <c r="D292" s="11" t="s">
        <v>1755</v>
      </c>
      <c r="E292" s="11" t="s">
        <v>1756</v>
      </c>
      <c r="F292" s="11" t="s">
        <v>1757</v>
      </c>
      <c r="G292" s="11" t="s">
        <v>58</v>
      </c>
      <c r="H292" s="11" t="s">
        <v>1758</v>
      </c>
      <c r="I292" s="11" t="s">
        <v>1759</v>
      </c>
      <c r="J292" s="12" t="s">
        <v>8</v>
      </c>
      <c r="K292" s="12"/>
      <c r="L292" s="12"/>
      <c r="M292" s="12"/>
      <c r="N292" s="12"/>
      <c r="O292" s="12" t="s">
        <v>60</v>
      </c>
      <c r="P292" s="12"/>
      <c r="Q292" s="12"/>
      <c r="R292" s="12"/>
      <c r="S292" s="12"/>
      <c r="T292" s="13" t="str">
        <f t="shared" si="20"/>
        <v>通過</v>
      </c>
      <c r="U292" s="13" t="str">
        <f t="shared" si="21"/>
        <v>老師的主要工作是教學</v>
      </c>
      <c r="V292" s="13" t="str">
        <f t="shared" si="22"/>
        <v>老師/工作/正(主要)/什麼/教</v>
      </c>
      <c r="W292" s="13" t="str">
        <f t="shared" si="23"/>
        <v>是</v>
      </c>
      <c r="X292" s="13" t="str">
        <f t="shared" si="24"/>
        <v>通過</v>
      </c>
    </row>
    <row r="293" spans="1:24" ht="34" customHeight="1">
      <c r="A293" s="11" t="s">
        <v>1760</v>
      </c>
      <c r="B293" s="11" t="s">
        <v>1760</v>
      </c>
      <c r="C293" s="11" t="s">
        <v>54</v>
      </c>
      <c r="D293" s="11" t="s">
        <v>1761</v>
      </c>
      <c r="E293" s="11" t="s">
        <v>1762</v>
      </c>
      <c r="F293" s="11" t="s">
        <v>1763</v>
      </c>
      <c r="G293" s="11" t="s">
        <v>58</v>
      </c>
      <c r="H293" s="11" t="s">
        <v>1764</v>
      </c>
      <c r="I293" s="11" t="s">
        <v>1765</v>
      </c>
      <c r="J293" s="12" t="s">
        <v>8</v>
      </c>
      <c r="K293" s="12"/>
      <c r="L293" s="12"/>
      <c r="M293" s="12"/>
      <c r="N293" s="12"/>
      <c r="O293" s="12" t="s">
        <v>60</v>
      </c>
      <c r="P293" s="12"/>
      <c r="Q293" s="12"/>
      <c r="R293" s="12"/>
      <c r="S293" s="12"/>
      <c r="T293" s="13" t="str">
        <f t="shared" si="20"/>
        <v>通過</v>
      </c>
      <c r="U293" s="13" t="str">
        <f t="shared" si="21"/>
        <v>我的鑰匙不見了</v>
      </c>
      <c r="V293" s="13" t="str">
        <f t="shared" si="22"/>
        <v>我/鑰匙/遺失</v>
      </c>
      <c r="W293" s="13" t="str">
        <f t="shared" si="23"/>
        <v>是</v>
      </c>
      <c r="X293" s="13" t="str">
        <f t="shared" si="24"/>
        <v>通過</v>
      </c>
    </row>
    <row r="294" spans="1:24" ht="34" customHeight="1">
      <c r="A294" s="11" t="s">
        <v>1766</v>
      </c>
      <c r="B294" s="11" t="s">
        <v>1766</v>
      </c>
      <c r="C294" s="11" t="s">
        <v>54</v>
      </c>
      <c r="D294" s="11" t="s">
        <v>1767</v>
      </c>
      <c r="E294" s="11" t="s">
        <v>1768</v>
      </c>
      <c r="F294" s="11" t="s">
        <v>1769</v>
      </c>
      <c r="G294" s="11" t="s">
        <v>58</v>
      </c>
      <c r="H294" s="11" t="s">
        <v>1770</v>
      </c>
      <c r="I294" s="11" t="s">
        <v>1771</v>
      </c>
      <c r="J294" s="12" t="s">
        <v>8</v>
      </c>
      <c r="K294" s="12"/>
      <c r="L294" s="12"/>
      <c r="M294" s="12"/>
      <c r="N294" s="12"/>
      <c r="O294" s="12" t="s">
        <v>60</v>
      </c>
      <c r="P294" s="12"/>
      <c r="Q294" s="12"/>
      <c r="R294" s="12"/>
      <c r="S294" s="12"/>
      <c r="T294" s="13" t="str">
        <f t="shared" si="20"/>
        <v>通過</v>
      </c>
      <c r="U294" s="13" t="str">
        <f t="shared" si="21"/>
        <v>殺人是犯法的</v>
      </c>
      <c r="V294" s="13" t="str">
        <f t="shared" si="22"/>
        <v>人/殺/這/違法/失約</v>
      </c>
      <c r="W294" s="13" t="str">
        <f t="shared" si="23"/>
        <v>是</v>
      </c>
      <c r="X294" s="13" t="str">
        <f t="shared" si="24"/>
        <v>通過</v>
      </c>
    </row>
    <row r="295" spans="1:24" ht="34" customHeight="1">
      <c r="A295" s="11" t="s">
        <v>1772</v>
      </c>
      <c r="B295" s="11" t="s">
        <v>1772</v>
      </c>
      <c r="C295" s="11" t="s">
        <v>54</v>
      </c>
      <c r="D295" s="11" t="s">
        <v>1773</v>
      </c>
      <c r="E295" s="11" t="s">
        <v>568</v>
      </c>
      <c r="F295" s="11" t="s">
        <v>1774</v>
      </c>
      <c r="G295" s="11" t="s">
        <v>58</v>
      </c>
      <c r="H295" s="11" t="s">
        <v>1775</v>
      </c>
      <c r="I295" s="11" t="s">
        <v>1776</v>
      </c>
      <c r="J295" s="12" t="s">
        <v>8</v>
      </c>
      <c r="K295" s="12"/>
      <c r="L295" s="12"/>
      <c r="M295" s="12"/>
      <c r="N295" s="12"/>
      <c r="O295" s="12" t="s">
        <v>60</v>
      </c>
      <c r="P295" s="12"/>
      <c r="Q295" s="12"/>
      <c r="R295" s="12"/>
      <c r="S295" s="12"/>
      <c r="T295" s="13" t="str">
        <f t="shared" si="20"/>
        <v>通過</v>
      </c>
      <c r="U295" s="13" t="str">
        <f t="shared" si="21"/>
        <v>我會包水餃</v>
      </c>
      <c r="V295" s="13" t="str">
        <f t="shared" si="22"/>
        <v>我/水餃/知道</v>
      </c>
      <c r="W295" s="13" t="str">
        <f t="shared" si="23"/>
        <v>是</v>
      </c>
      <c r="X295" s="13" t="str">
        <f t="shared" si="24"/>
        <v>通過</v>
      </c>
    </row>
    <row r="296" spans="1:24" ht="34" customHeight="1">
      <c r="A296" s="11" t="s">
        <v>1777</v>
      </c>
      <c r="B296" s="11" t="s">
        <v>1777</v>
      </c>
      <c r="C296" s="11" t="s">
        <v>54</v>
      </c>
      <c r="D296" s="11" t="s">
        <v>1773</v>
      </c>
      <c r="E296" s="11" t="s">
        <v>1778</v>
      </c>
      <c r="F296" s="11" t="s">
        <v>1779</v>
      </c>
      <c r="G296" s="11" t="s">
        <v>58</v>
      </c>
      <c r="H296" s="11" t="s">
        <v>1780</v>
      </c>
      <c r="I296" s="11" t="s">
        <v>1781</v>
      </c>
      <c r="J296" s="12" t="s">
        <v>8</v>
      </c>
      <c r="K296" s="12"/>
      <c r="L296" s="12"/>
      <c r="M296" s="12"/>
      <c r="N296" s="12"/>
      <c r="O296" s="12" t="s">
        <v>60</v>
      </c>
      <c r="P296" s="12"/>
      <c r="Q296" s="12"/>
      <c r="R296" s="12"/>
      <c r="S296" s="12"/>
      <c r="T296" s="13" t="str">
        <f t="shared" si="20"/>
        <v>通過</v>
      </c>
      <c r="U296" s="13" t="str">
        <f t="shared" si="21"/>
        <v>你知道我的眼鏡在哪裡嗎?</v>
      </c>
      <c r="V296" s="13" t="str">
        <f t="shared" si="22"/>
        <v>我/眼鏡/哪裡/你/知道</v>
      </c>
      <c r="W296" s="13" t="str">
        <f t="shared" si="23"/>
        <v>是</v>
      </c>
      <c r="X296" s="13" t="str">
        <f t="shared" si="24"/>
        <v>通過</v>
      </c>
    </row>
    <row r="297" spans="1:24" ht="34" customHeight="1">
      <c r="A297" s="11" t="s">
        <v>1782</v>
      </c>
      <c r="B297" s="11" t="s">
        <v>1782</v>
      </c>
      <c r="C297" s="11" t="s">
        <v>54</v>
      </c>
      <c r="D297" s="11" t="s">
        <v>1783</v>
      </c>
      <c r="E297" s="11" t="s">
        <v>1784</v>
      </c>
      <c r="F297" s="11" t="s">
        <v>1785</v>
      </c>
      <c r="G297" s="11" t="s">
        <v>58</v>
      </c>
      <c r="H297" s="11" t="s">
        <v>1786</v>
      </c>
      <c r="I297" s="11" t="s">
        <v>1787</v>
      </c>
      <c r="J297" s="12" t="s">
        <v>8</v>
      </c>
      <c r="K297" s="12"/>
      <c r="L297" s="12"/>
      <c r="M297" s="12"/>
      <c r="N297" s="12"/>
      <c r="O297" s="12" t="s">
        <v>60</v>
      </c>
      <c r="P297" s="12"/>
      <c r="Q297" s="12"/>
      <c r="R297" s="12"/>
      <c r="S297" s="12"/>
      <c r="T297" s="13" t="str">
        <f t="shared" si="20"/>
        <v>通過</v>
      </c>
      <c r="U297" s="13" t="str">
        <f t="shared" si="21"/>
        <v>你認識我的老師嗎?</v>
      </c>
      <c r="V297" s="13" t="str">
        <f t="shared" si="22"/>
        <v>老師/你/我/老師/你/認識</v>
      </c>
      <c r="W297" s="13" t="str">
        <f t="shared" si="23"/>
        <v>是</v>
      </c>
      <c r="X297" s="13" t="str">
        <f t="shared" si="24"/>
        <v>通過</v>
      </c>
    </row>
    <row r="298" spans="1:24" ht="34" customHeight="1">
      <c r="A298" s="11" t="s">
        <v>1788</v>
      </c>
      <c r="B298" s="11" t="s">
        <v>1788</v>
      </c>
      <c r="C298" s="11" t="s">
        <v>54</v>
      </c>
      <c r="D298" s="11" t="s">
        <v>1783</v>
      </c>
      <c r="E298" s="11" t="s">
        <v>1789</v>
      </c>
      <c r="F298" s="11" t="s">
        <v>1790</v>
      </c>
      <c r="G298" s="11" t="s">
        <v>58</v>
      </c>
      <c r="H298" s="11" t="s">
        <v>1791</v>
      </c>
      <c r="I298" s="11" t="s">
        <v>1792</v>
      </c>
      <c r="J298" s="12" t="s">
        <v>8</v>
      </c>
      <c r="K298" s="12"/>
      <c r="L298" s="12"/>
      <c r="M298" s="12"/>
      <c r="N298" s="12"/>
      <c r="O298" s="12" t="s">
        <v>60</v>
      </c>
      <c r="P298" s="12"/>
      <c r="Q298" s="12"/>
      <c r="R298" s="12"/>
      <c r="S298" s="12"/>
      <c r="T298" s="13" t="str">
        <f t="shared" si="20"/>
        <v>通過</v>
      </c>
      <c r="U298" s="13" t="str">
        <f t="shared" si="21"/>
        <v>你認識我嗎?</v>
      </c>
      <c r="V298" s="13" t="str">
        <f t="shared" si="22"/>
        <v>你/見我/認識</v>
      </c>
      <c r="W298" s="13" t="str">
        <f t="shared" si="23"/>
        <v>是</v>
      </c>
      <c r="X298" s="13" t="str">
        <f t="shared" si="24"/>
        <v>通過</v>
      </c>
    </row>
    <row r="299" spans="1:24" ht="34" customHeight="1">
      <c r="A299" s="11" t="s">
        <v>1793</v>
      </c>
      <c r="B299" s="11" t="s">
        <v>1793</v>
      </c>
      <c r="C299" s="11" t="s">
        <v>54</v>
      </c>
      <c r="D299" s="11" t="s">
        <v>1794</v>
      </c>
      <c r="E299" s="11" t="s">
        <v>1795</v>
      </c>
      <c r="F299" s="11" t="s">
        <v>1796</v>
      </c>
      <c r="G299" s="11" t="s">
        <v>58</v>
      </c>
      <c r="H299" s="11" t="s">
        <v>1797</v>
      </c>
      <c r="I299" s="11" t="s">
        <v>1798</v>
      </c>
      <c r="J299" s="12" t="s">
        <v>8</v>
      </c>
      <c r="K299" s="12"/>
      <c r="L299" s="12"/>
      <c r="M299" s="12"/>
      <c r="N299" s="12"/>
      <c r="O299" s="12" t="s">
        <v>60</v>
      </c>
      <c r="P299" s="12"/>
      <c r="Q299" s="12"/>
      <c r="R299" s="12"/>
      <c r="S299" s="12"/>
      <c r="T299" s="13" t="str">
        <f t="shared" si="20"/>
        <v>通過</v>
      </c>
      <c r="U299" s="13" t="str">
        <f t="shared" si="21"/>
        <v>知識就是力量</v>
      </c>
      <c r="V299" s="13" t="str">
        <f t="shared" si="22"/>
        <v>力量/什麼/知識</v>
      </c>
      <c r="W299" s="13" t="str">
        <f t="shared" si="23"/>
        <v>是</v>
      </c>
      <c r="X299" s="13" t="str">
        <f t="shared" si="24"/>
        <v>通過</v>
      </c>
    </row>
    <row r="300" spans="1:24" ht="34" customHeight="1">
      <c r="A300" s="11" t="s">
        <v>1799</v>
      </c>
      <c r="B300" s="11" t="s">
        <v>1799</v>
      </c>
      <c r="C300" s="11" t="s">
        <v>54</v>
      </c>
      <c r="D300" s="11" t="s">
        <v>1800</v>
      </c>
      <c r="E300" s="11" t="s">
        <v>1801</v>
      </c>
      <c r="F300" s="11" t="s">
        <v>1802</v>
      </c>
      <c r="G300" s="11" t="s">
        <v>58</v>
      </c>
      <c r="H300" s="11" t="s">
        <v>1803</v>
      </c>
      <c r="I300" s="11" t="s">
        <v>1804</v>
      </c>
      <c r="J300" s="12" t="s">
        <v>8</v>
      </c>
      <c r="K300" s="12"/>
      <c r="L300" s="12"/>
      <c r="M300" s="12"/>
      <c r="N300" s="12"/>
      <c r="O300" s="12" t="s">
        <v>60</v>
      </c>
      <c r="P300" s="12"/>
      <c r="Q300" s="12"/>
      <c r="R300" s="12"/>
      <c r="S300" s="12"/>
      <c r="T300" s="13" t="str">
        <f t="shared" si="20"/>
        <v>通過</v>
      </c>
      <c r="U300" s="13" t="str">
        <f t="shared" si="21"/>
        <v>學校裡有一座人工湖</v>
      </c>
      <c r="V300" s="13" t="str">
        <f t="shared" si="22"/>
        <v>學校/裡/人/工/挖/湖/有</v>
      </c>
      <c r="W300" s="13" t="str">
        <f t="shared" si="23"/>
        <v>是</v>
      </c>
      <c r="X300" s="13" t="str">
        <f t="shared" si="24"/>
        <v>通過</v>
      </c>
    </row>
    <row r="301" spans="1:24" ht="34" customHeight="1">
      <c r="A301" s="11" t="s">
        <v>1805</v>
      </c>
      <c r="B301" s="11" t="s">
        <v>1805</v>
      </c>
      <c r="C301" s="11" t="s">
        <v>54</v>
      </c>
      <c r="D301" s="11" t="s">
        <v>1806</v>
      </c>
      <c r="E301" s="11" t="s">
        <v>1807</v>
      </c>
      <c r="F301" s="11" t="s">
        <v>1808</v>
      </c>
      <c r="G301" s="11" t="s">
        <v>58</v>
      </c>
      <c r="H301" s="11" t="s">
        <v>1809</v>
      </c>
      <c r="I301" s="11" t="s">
        <v>1810</v>
      </c>
      <c r="J301" s="12" t="s">
        <v>8</v>
      </c>
      <c r="K301" s="12"/>
      <c r="L301" s="12"/>
      <c r="M301" s="12"/>
      <c r="N301" s="12"/>
      <c r="O301" s="12" t="s">
        <v>60</v>
      </c>
      <c r="P301" s="12"/>
      <c r="Q301" s="12"/>
      <c r="R301" s="12"/>
      <c r="S301" s="12"/>
      <c r="T301" s="13" t="str">
        <f t="shared" si="20"/>
        <v>通過</v>
      </c>
      <c r="U301" s="13" t="str">
        <f t="shared" si="21"/>
        <v>我看到坵蚓從土裡鑽出來</v>
      </c>
      <c r="V301" s="13" t="str">
        <f t="shared" si="22"/>
        <v>土/平/我/見/蚯蚓爬出來</v>
      </c>
      <c r="W301" s="13" t="str">
        <f t="shared" si="23"/>
        <v>是</v>
      </c>
      <c r="X301" s="13" t="str">
        <f t="shared" si="24"/>
        <v>通過</v>
      </c>
    </row>
    <row r="302" spans="1:24" ht="34" customHeight="1">
      <c r="A302" s="11" t="s">
        <v>1811</v>
      </c>
      <c r="B302" s="11" t="s">
        <v>1811</v>
      </c>
      <c r="C302" s="11" t="s">
        <v>54</v>
      </c>
      <c r="D302" s="11" t="s">
        <v>1806</v>
      </c>
      <c r="E302" s="11" t="s">
        <v>1812</v>
      </c>
      <c r="F302" s="11" t="s">
        <v>1813</v>
      </c>
      <c r="G302" s="11" t="s">
        <v>58</v>
      </c>
      <c r="H302" s="11" t="s">
        <v>1814</v>
      </c>
      <c r="I302" s="11" t="s">
        <v>1815</v>
      </c>
      <c r="J302" s="12" t="s">
        <v>8</v>
      </c>
      <c r="K302" s="12"/>
      <c r="L302" s="12"/>
      <c r="M302" s="12"/>
      <c r="N302" s="12"/>
      <c r="O302" s="12" t="s">
        <v>60</v>
      </c>
      <c r="P302" s="12"/>
      <c r="Q302" s="12"/>
      <c r="R302" s="12"/>
      <c r="S302" s="12"/>
      <c r="T302" s="13" t="str">
        <f t="shared" si="20"/>
        <v>通過</v>
      </c>
      <c r="U302" s="13" t="str">
        <f t="shared" si="21"/>
        <v>這個地方的土很肥沃</v>
      </c>
      <c r="V302" s="13" t="str">
        <f t="shared" si="22"/>
        <v>這/土/這/土/這/夠/肥沃</v>
      </c>
      <c r="W302" s="13" t="str">
        <f t="shared" si="23"/>
        <v>是</v>
      </c>
      <c r="X302" s="13" t="str">
        <f t="shared" si="24"/>
        <v>通過</v>
      </c>
    </row>
    <row r="303" spans="1:24" ht="34" customHeight="1">
      <c r="A303" s="11" t="s">
        <v>1816</v>
      </c>
      <c r="B303" s="11" t="s">
        <v>1816</v>
      </c>
      <c r="C303" s="11" t="s">
        <v>54</v>
      </c>
      <c r="D303" s="11" t="s">
        <v>1817</v>
      </c>
      <c r="E303" s="11" t="s">
        <v>1818</v>
      </c>
      <c r="F303" s="11" t="s">
        <v>1819</v>
      </c>
      <c r="G303" s="11" t="s">
        <v>58</v>
      </c>
      <c r="H303" s="11" t="s">
        <v>1820</v>
      </c>
      <c r="I303" s="11" t="s">
        <v>1821</v>
      </c>
      <c r="J303" s="12" t="s">
        <v>8</v>
      </c>
      <c r="K303" s="12"/>
      <c r="L303" s="12"/>
      <c r="M303" s="12"/>
      <c r="N303" s="12"/>
      <c r="O303" s="12" t="s">
        <v>60</v>
      </c>
      <c r="P303" s="12"/>
      <c r="Q303" s="12"/>
      <c r="R303" s="12"/>
      <c r="S303" s="12"/>
      <c r="T303" s="13" t="str">
        <f t="shared" si="20"/>
        <v>通過</v>
      </c>
      <c r="U303" s="13" t="str">
        <f t="shared" si="21"/>
        <v>我會三種語言</v>
      </c>
      <c r="V303" s="13" t="str">
        <f t="shared" si="22"/>
        <v>我/語言/三/會</v>
      </c>
      <c r="W303" s="13" t="str">
        <f t="shared" si="23"/>
        <v>是</v>
      </c>
      <c r="X303" s="13" t="str">
        <f t="shared" si="24"/>
        <v>通過</v>
      </c>
    </row>
    <row r="304" spans="1:24" ht="34" customHeight="1">
      <c r="A304" s="11" t="s">
        <v>1822</v>
      </c>
      <c r="B304" s="11" t="s">
        <v>1822</v>
      </c>
      <c r="C304" s="11" t="s">
        <v>54</v>
      </c>
      <c r="D304" s="11" t="s">
        <v>1823</v>
      </c>
      <c r="E304" s="11" t="s">
        <v>1824</v>
      </c>
      <c r="F304" s="11" t="s">
        <v>1825</v>
      </c>
      <c r="G304" s="11" t="s">
        <v>58</v>
      </c>
      <c r="H304" s="11" t="s">
        <v>1826</v>
      </c>
      <c r="I304" s="11" t="s">
        <v>1827</v>
      </c>
      <c r="J304" s="12" t="s">
        <v>8</v>
      </c>
      <c r="K304" s="12"/>
      <c r="L304" s="12"/>
      <c r="M304" s="12"/>
      <c r="N304" s="12"/>
      <c r="O304" s="12" t="s">
        <v>60</v>
      </c>
      <c r="P304" s="12"/>
      <c r="Q304" s="12"/>
      <c r="R304" s="12"/>
      <c r="S304" s="12"/>
      <c r="T304" s="13" t="str">
        <f t="shared" si="20"/>
        <v>通過</v>
      </c>
      <c r="U304" s="13" t="str">
        <f t="shared" si="21"/>
        <v>那個笑話，讓他笑了五分鐘</v>
      </c>
      <c r="V304" s="13" t="str">
        <f t="shared" si="22"/>
        <v>這/笑話/他/笑/摀嘴/五分鐘</v>
      </c>
      <c r="W304" s="13" t="str">
        <f t="shared" si="23"/>
        <v>是</v>
      </c>
      <c r="X304" s="13" t="str">
        <f t="shared" si="24"/>
        <v>通過</v>
      </c>
    </row>
    <row r="305" spans="1:24" ht="34" customHeight="1">
      <c r="A305" s="11" t="s">
        <v>1828</v>
      </c>
      <c r="B305" s="11" t="s">
        <v>1828</v>
      </c>
      <c r="C305" s="11" t="s">
        <v>54</v>
      </c>
      <c r="D305" s="11" t="s">
        <v>1829</v>
      </c>
      <c r="E305" s="11" t="s">
        <v>1830</v>
      </c>
      <c r="F305" s="11" t="s">
        <v>1831</v>
      </c>
      <c r="G305" s="11" t="s">
        <v>58</v>
      </c>
      <c r="H305" s="11" t="s">
        <v>1832</v>
      </c>
      <c r="I305" s="11" t="s">
        <v>1833</v>
      </c>
      <c r="J305" s="12" t="s">
        <v>8</v>
      </c>
      <c r="K305" s="12"/>
      <c r="L305" s="12"/>
      <c r="M305" s="12"/>
      <c r="N305" s="12"/>
      <c r="O305" s="12" t="s">
        <v>60</v>
      </c>
      <c r="P305" s="12"/>
      <c r="Q305" s="12"/>
      <c r="R305" s="12"/>
      <c r="S305" s="12"/>
      <c r="T305" s="13" t="str">
        <f t="shared" si="20"/>
        <v>通過</v>
      </c>
      <c r="U305" s="13" t="str">
        <f t="shared" si="21"/>
        <v>我家離圖書館很近</v>
      </c>
      <c r="V305" s="13" t="str">
        <f t="shared" si="22"/>
        <v>圖書館/我/家/兩者距離/近</v>
      </c>
      <c r="W305" s="13" t="str">
        <f t="shared" si="23"/>
        <v>是</v>
      </c>
      <c r="X305" s="13" t="str">
        <f t="shared" si="24"/>
        <v>通過</v>
      </c>
    </row>
    <row r="306" spans="1:24" ht="34" customHeight="1">
      <c r="A306" s="11" t="s">
        <v>1834</v>
      </c>
      <c r="B306" s="11" t="s">
        <v>1834</v>
      </c>
      <c r="C306" s="11" t="s">
        <v>54</v>
      </c>
      <c r="D306" s="11" t="s">
        <v>1835</v>
      </c>
      <c r="E306" s="11" t="s">
        <v>1836</v>
      </c>
      <c r="F306" s="11" t="s">
        <v>1837</v>
      </c>
      <c r="G306" s="11" t="s">
        <v>58</v>
      </c>
      <c r="H306" s="11" t="s">
        <v>1838</v>
      </c>
      <c r="I306" s="11" t="s">
        <v>1839</v>
      </c>
      <c r="J306" s="12" t="s">
        <v>8</v>
      </c>
      <c r="K306" s="12"/>
      <c r="L306" s="12"/>
      <c r="M306" s="12"/>
      <c r="N306" s="12"/>
      <c r="O306" s="12" t="s">
        <v>60</v>
      </c>
      <c r="P306" s="12"/>
      <c r="Q306" s="12"/>
      <c r="R306" s="12"/>
      <c r="S306" s="12"/>
      <c r="T306" s="13" t="str">
        <f t="shared" si="20"/>
        <v>通過</v>
      </c>
      <c r="U306" s="13" t="str">
        <f t="shared" si="21"/>
        <v>剛出生的嬰兒體重很輕</v>
      </c>
      <c r="V306" s="13" t="str">
        <f t="shared" si="22"/>
        <v>嬰兒/剛剛/出生/這/體重/輕</v>
      </c>
      <c r="W306" s="13" t="str">
        <f t="shared" si="23"/>
        <v>是</v>
      </c>
      <c r="X306" s="13" t="str">
        <f t="shared" si="24"/>
        <v>通過</v>
      </c>
    </row>
    <row r="307" spans="1:24" ht="34" customHeight="1">
      <c r="A307" s="11" t="s">
        <v>1840</v>
      </c>
      <c r="B307" s="11" t="s">
        <v>1840</v>
      </c>
      <c r="C307" s="11" t="s">
        <v>54</v>
      </c>
      <c r="D307" s="11" t="s">
        <v>1841</v>
      </c>
      <c r="E307" s="11" t="s">
        <v>1842</v>
      </c>
      <c r="F307" s="11" t="s">
        <v>1843</v>
      </c>
      <c r="G307" s="11" t="s">
        <v>58</v>
      </c>
      <c r="H307" s="11" t="s">
        <v>1844</v>
      </c>
      <c r="I307" s="11" t="s">
        <v>1845</v>
      </c>
      <c r="J307" s="12" t="s">
        <v>8</v>
      </c>
      <c r="K307" s="12"/>
      <c r="L307" s="12"/>
      <c r="M307" s="12"/>
      <c r="N307" s="12"/>
      <c r="O307" s="12" t="s">
        <v>60</v>
      </c>
      <c r="P307" s="12"/>
      <c r="Q307" s="12"/>
      <c r="R307" s="12"/>
      <c r="S307" s="12"/>
      <c r="T307" s="13" t="str">
        <f t="shared" si="20"/>
        <v>通過</v>
      </c>
      <c r="U307" s="13" t="str">
        <f t="shared" si="21"/>
        <v>我喜歡聽音樂</v>
      </c>
      <c r="V307" s="13" t="str">
        <f t="shared" si="22"/>
        <v>唱歌/指揮/我/聽/喜歡</v>
      </c>
      <c r="W307" s="13" t="str">
        <f t="shared" si="23"/>
        <v>是</v>
      </c>
      <c r="X307" s="13" t="str">
        <f t="shared" si="24"/>
        <v>通過</v>
      </c>
    </row>
    <row r="308" spans="1:24" ht="34" customHeight="1">
      <c r="A308" s="11" t="s">
        <v>1846</v>
      </c>
      <c r="B308" s="11" t="s">
        <v>1846</v>
      </c>
      <c r="C308" s="11" t="s">
        <v>54</v>
      </c>
      <c r="D308" s="11" t="s">
        <v>1841</v>
      </c>
      <c r="E308" s="11" t="s">
        <v>1847</v>
      </c>
      <c r="F308" s="11" t="s">
        <v>1848</v>
      </c>
      <c r="G308" s="11" t="s">
        <v>58</v>
      </c>
      <c r="H308" s="11" t="s">
        <v>1849</v>
      </c>
      <c r="I308" s="11" t="s">
        <v>1850</v>
      </c>
      <c r="J308" s="12" t="s">
        <v>8</v>
      </c>
      <c r="K308" s="12"/>
      <c r="L308" s="12"/>
      <c r="M308" s="12"/>
      <c r="N308" s="12"/>
      <c r="O308" s="12" t="s">
        <v>60</v>
      </c>
      <c r="P308" s="12"/>
      <c r="Q308" s="12"/>
      <c r="R308" s="12"/>
      <c r="S308" s="12"/>
      <c r="T308" s="13" t="str">
        <f t="shared" si="20"/>
        <v>通過</v>
      </c>
      <c r="U308" s="13" t="str">
        <f t="shared" si="21"/>
        <v>我喜歡你</v>
      </c>
      <c r="V308" s="13" t="str">
        <f t="shared" si="22"/>
        <v>你/我/喜歡</v>
      </c>
      <c r="W308" s="13" t="str">
        <f t="shared" si="23"/>
        <v>是</v>
      </c>
      <c r="X308" s="13" t="str">
        <f t="shared" si="24"/>
        <v>通過</v>
      </c>
    </row>
    <row r="309" spans="1:24" ht="34" customHeight="1">
      <c r="A309" s="11" t="s">
        <v>1851</v>
      </c>
      <c r="B309" s="11" t="s">
        <v>1851</v>
      </c>
      <c r="C309" s="11" t="s">
        <v>54</v>
      </c>
      <c r="D309" s="11" t="s">
        <v>1841</v>
      </c>
      <c r="E309" s="11" t="s">
        <v>1852</v>
      </c>
      <c r="F309" s="11" t="s">
        <v>1853</v>
      </c>
      <c r="G309" s="11" t="s">
        <v>58</v>
      </c>
      <c r="H309" s="11" t="s">
        <v>1854</v>
      </c>
      <c r="I309" s="11" t="s">
        <v>1855</v>
      </c>
      <c r="J309" s="12" t="s">
        <v>8</v>
      </c>
      <c r="K309" s="12"/>
      <c r="L309" s="12"/>
      <c r="M309" s="12"/>
      <c r="N309" s="12"/>
      <c r="O309" s="12" t="s">
        <v>60</v>
      </c>
      <c r="P309" s="12"/>
      <c r="Q309" s="12"/>
      <c r="R309" s="12"/>
      <c r="S309" s="12"/>
      <c r="T309" s="13" t="str">
        <f t="shared" si="20"/>
        <v>通過</v>
      </c>
      <c r="U309" s="13" t="str">
        <f t="shared" si="21"/>
        <v>那個女生喜歡看書</v>
      </c>
      <c r="V309" s="13" t="str">
        <f t="shared" si="22"/>
        <v>那/女生/喜歡/什麼/看/書</v>
      </c>
      <c r="W309" s="13" t="str">
        <f t="shared" si="23"/>
        <v>是</v>
      </c>
      <c r="X309" s="13" t="str">
        <f t="shared" si="24"/>
        <v>通過</v>
      </c>
    </row>
    <row r="310" spans="1:24" ht="34" customHeight="1">
      <c r="A310" s="11" t="s">
        <v>1856</v>
      </c>
      <c r="B310" s="11" t="s">
        <v>1856</v>
      </c>
      <c r="C310" s="11" t="s">
        <v>54</v>
      </c>
      <c r="D310" s="11" t="s">
        <v>1857</v>
      </c>
      <c r="E310" s="11" t="s">
        <v>1858</v>
      </c>
      <c r="F310" s="11" t="s">
        <v>1859</v>
      </c>
      <c r="G310" s="11" t="s">
        <v>58</v>
      </c>
      <c r="H310" s="11" t="s">
        <v>1860</v>
      </c>
      <c r="I310" s="11" t="s">
        <v>1861</v>
      </c>
      <c r="J310" s="12" t="s">
        <v>8</v>
      </c>
      <c r="K310" s="12"/>
      <c r="L310" s="12"/>
      <c r="M310" s="12"/>
      <c r="N310" s="12"/>
      <c r="O310" s="12" t="s">
        <v>60</v>
      </c>
      <c r="P310" s="12"/>
      <c r="Q310" s="12"/>
      <c r="R310" s="12"/>
      <c r="S310" s="12"/>
      <c r="T310" s="13" t="str">
        <f t="shared" si="20"/>
        <v>通過</v>
      </c>
      <c r="U310" s="13" t="str">
        <f t="shared" si="21"/>
        <v>喝太多酒對身體不好</v>
      </c>
      <c r="V310" s="13" t="str">
        <f t="shared" si="22"/>
        <v>酒/喝/多/對/身體/不好</v>
      </c>
      <c r="W310" s="13" t="str">
        <f t="shared" si="23"/>
        <v>是</v>
      </c>
      <c r="X310" s="13" t="str">
        <f t="shared" si="24"/>
        <v>通過</v>
      </c>
    </row>
    <row r="311" spans="1:24" ht="34" customHeight="1">
      <c r="A311" s="11" t="s">
        <v>1862</v>
      </c>
      <c r="B311" s="11" t="s">
        <v>1862</v>
      </c>
      <c r="C311" s="11" t="s">
        <v>54</v>
      </c>
      <c r="D311" s="11" t="s">
        <v>1863</v>
      </c>
      <c r="E311" s="11" t="s">
        <v>1864</v>
      </c>
      <c r="F311" s="11" t="s">
        <v>1865</v>
      </c>
      <c r="G311" s="11" t="s">
        <v>58</v>
      </c>
      <c r="H311" s="11" t="s">
        <v>1866</v>
      </c>
      <c r="I311" s="11" t="s">
        <v>1867</v>
      </c>
      <c r="J311" s="12" t="s">
        <v>8</v>
      </c>
      <c r="K311" s="12"/>
      <c r="L311" s="12"/>
      <c r="M311" s="12"/>
      <c r="N311" s="12"/>
      <c r="O311" s="12" t="s">
        <v>60</v>
      </c>
      <c r="P311" s="12"/>
      <c r="Q311" s="12"/>
      <c r="R311" s="12"/>
      <c r="S311" s="12"/>
      <c r="T311" s="13" t="str">
        <f t="shared" si="20"/>
        <v>通過</v>
      </c>
      <c r="U311" s="13" t="str">
        <f t="shared" si="21"/>
        <v>我住在台北</v>
      </c>
      <c r="V311" s="13" t="str">
        <f t="shared" si="22"/>
        <v>我/住/台北</v>
      </c>
      <c r="W311" s="13" t="str">
        <f t="shared" si="23"/>
        <v>是</v>
      </c>
      <c r="X311" s="13" t="str">
        <f t="shared" si="24"/>
        <v>通過</v>
      </c>
    </row>
    <row r="312" spans="1:24" ht="34" customHeight="1">
      <c r="A312" s="11" t="s">
        <v>1868</v>
      </c>
      <c r="B312" s="11" t="s">
        <v>1868</v>
      </c>
      <c r="C312" s="11" t="s">
        <v>54</v>
      </c>
      <c r="D312" s="11" t="s">
        <v>1869</v>
      </c>
      <c r="E312" s="11" t="s">
        <v>1870</v>
      </c>
      <c r="F312" s="11" t="s">
        <v>1871</v>
      </c>
      <c r="G312" s="11" t="s">
        <v>58</v>
      </c>
      <c r="H312" s="11" t="s">
        <v>1872</v>
      </c>
      <c r="I312" s="11" t="s">
        <v>1873</v>
      </c>
      <c r="J312" s="12" t="s">
        <v>8</v>
      </c>
      <c r="K312" s="12"/>
      <c r="L312" s="12"/>
      <c r="M312" s="12"/>
      <c r="N312" s="12"/>
      <c r="O312" s="12" t="s">
        <v>60</v>
      </c>
      <c r="P312" s="12"/>
      <c r="Q312" s="12"/>
      <c r="R312" s="12"/>
      <c r="S312" s="12"/>
      <c r="T312" s="13" t="str">
        <f t="shared" si="20"/>
        <v>通過</v>
      </c>
      <c r="U312" s="13" t="str">
        <f t="shared" si="21"/>
        <v>一個人在家好無聊</v>
      </c>
      <c r="V312" s="13" t="str">
        <f t="shared" si="22"/>
        <v>只有一個/家/在/無聊</v>
      </c>
      <c r="W312" s="13" t="str">
        <f t="shared" si="23"/>
        <v>是</v>
      </c>
      <c r="X312" s="13" t="str">
        <f t="shared" si="24"/>
        <v>通過</v>
      </c>
    </row>
    <row r="313" spans="1:24" ht="34" customHeight="1">
      <c r="A313" s="11" t="s">
        <v>1874</v>
      </c>
      <c r="B313" s="11" t="s">
        <v>1874</v>
      </c>
      <c r="C313" s="11" t="s">
        <v>54</v>
      </c>
      <c r="D313" s="11" t="s">
        <v>1875</v>
      </c>
      <c r="E313" s="11" t="s">
        <v>1876</v>
      </c>
      <c r="F313" s="11" t="s">
        <v>1877</v>
      </c>
      <c r="G313" s="11" t="s">
        <v>58</v>
      </c>
      <c r="H313" s="11" t="s">
        <v>1878</v>
      </c>
      <c r="I313" s="11" t="s">
        <v>1879</v>
      </c>
      <c r="J313" s="12" t="s">
        <v>8</v>
      </c>
      <c r="K313" s="12"/>
      <c r="L313" s="12"/>
      <c r="M313" s="12"/>
      <c r="N313" s="12"/>
      <c r="O313" s="12" t="s">
        <v>60</v>
      </c>
      <c r="P313" s="12"/>
      <c r="Q313" s="12"/>
      <c r="R313" s="12"/>
      <c r="S313" s="12"/>
      <c r="T313" s="13" t="str">
        <f t="shared" si="20"/>
        <v>通過</v>
      </c>
      <c r="U313" s="13" t="str">
        <f t="shared" si="21"/>
        <v>他寫功課，因為不懂，所以寫了很久</v>
      </c>
      <c r="V313" s="13" t="str">
        <f t="shared" si="22"/>
        <v>他/念書/寫/不懂/久</v>
      </c>
      <c r="W313" s="13" t="str">
        <f t="shared" si="23"/>
        <v>是</v>
      </c>
      <c r="X313" s="13" t="str">
        <f t="shared" si="24"/>
        <v>通過</v>
      </c>
    </row>
    <row r="314" spans="1:24" ht="34" customHeight="1">
      <c r="A314" s="11" t="s">
        <v>1880</v>
      </c>
      <c r="B314" s="11" t="s">
        <v>1880</v>
      </c>
      <c r="C314" s="11" t="s">
        <v>54</v>
      </c>
      <c r="D314" s="11" t="s">
        <v>1881</v>
      </c>
      <c r="E314" s="11" t="s">
        <v>1882</v>
      </c>
      <c r="F314" s="11" t="s">
        <v>1883</v>
      </c>
      <c r="G314" s="11" t="s">
        <v>58</v>
      </c>
      <c r="H314" s="11" t="s">
        <v>1884</v>
      </c>
      <c r="I314" s="11" t="s">
        <v>1885</v>
      </c>
      <c r="J314" s="12" t="s">
        <v>8</v>
      </c>
      <c r="K314" s="12"/>
      <c r="L314" s="12"/>
      <c r="M314" s="12"/>
      <c r="N314" s="12"/>
      <c r="O314" s="12" t="s">
        <v>60</v>
      </c>
      <c r="P314" s="12"/>
      <c r="Q314" s="12"/>
      <c r="R314" s="12"/>
      <c r="S314" s="12"/>
      <c r="T314" s="13" t="str">
        <f t="shared" si="20"/>
        <v>通過</v>
      </c>
      <c r="U314" s="13" t="str">
        <f t="shared" si="21"/>
        <v>請幫我找一下同學</v>
      </c>
      <c r="V314" s="13" t="str">
        <f t="shared" si="22"/>
        <v>幫我/同學/找</v>
      </c>
      <c r="W314" s="13" t="str">
        <f t="shared" si="23"/>
        <v>是</v>
      </c>
      <c r="X314" s="13" t="str">
        <f t="shared" si="24"/>
        <v>通過</v>
      </c>
    </row>
    <row r="315" spans="1:24" ht="34" customHeight="1">
      <c r="A315" s="11" t="s">
        <v>1886</v>
      </c>
      <c r="B315" s="11" t="s">
        <v>1886</v>
      </c>
      <c r="C315" s="11" t="s">
        <v>54</v>
      </c>
      <c r="D315" s="11" t="s">
        <v>1887</v>
      </c>
      <c r="E315" s="11" t="s">
        <v>1888</v>
      </c>
      <c r="F315" s="11" t="s">
        <v>1889</v>
      </c>
      <c r="G315" s="11" t="s">
        <v>58</v>
      </c>
      <c r="H315" s="11" t="s">
        <v>1890</v>
      </c>
      <c r="I315" s="11" t="s">
        <v>1891</v>
      </c>
      <c r="J315" s="12" t="s">
        <v>10</v>
      </c>
      <c r="K315" s="12" t="s">
        <v>3239</v>
      </c>
      <c r="L315" s="12"/>
      <c r="M315" s="12" t="s">
        <v>3267</v>
      </c>
      <c r="N315" s="12" t="s">
        <v>3268</v>
      </c>
      <c r="O315" s="12" t="s">
        <v>60</v>
      </c>
      <c r="P315" s="12"/>
      <c r="Q315" s="12"/>
      <c r="R315" s="12"/>
      <c r="S315" s="12"/>
      <c r="T315" s="13" t="str">
        <f t="shared" si="20"/>
        <v>需更正</v>
      </c>
      <c r="U315" s="13" t="str">
        <f t="shared" si="21"/>
        <v>爸爸很愛媽媽</v>
      </c>
      <c r="V315" s="13" t="str">
        <f t="shared" si="22"/>
        <v>媽媽/爸爸/愛</v>
      </c>
      <c r="W315" s="13" t="str">
        <f t="shared" si="23"/>
        <v>是</v>
      </c>
      <c r="X315" s="13" t="str">
        <f t="shared" si="24"/>
        <v>通過</v>
      </c>
    </row>
    <row r="316" spans="1:24" ht="34" customHeight="1">
      <c r="A316" s="11" t="s">
        <v>1892</v>
      </c>
      <c r="B316" s="11" t="s">
        <v>1892</v>
      </c>
      <c r="C316" s="11" t="s">
        <v>54</v>
      </c>
      <c r="D316" s="11" t="s">
        <v>1893</v>
      </c>
      <c r="E316" s="11" t="s">
        <v>1894</v>
      </c>
      <c r="F316" s="11" t="s">
        <v>1895</v>
      </c>
      <c r="G316" s="11" t="s">
        <v>58</v>
      </c>
      <c r="H316" s="11" t="s">
        <v>1896</v>
      </c>
      <c r="I316" s="11" t="s">
        <v>1897</v>
      </c>
      <c r="J316" s="12" t="s">
        <v>8</v>
      </c>
      <c r="K316" s="12"/>
      <c r="L316" s="12"/>
      <c r="M316" s="12"/>
      <c r="N316" s="12"/>
      <c r="O316" s="12" t="s">
        <v>60</v>
      </c>
      <c r="P316" s="12"/>
      <c r="Q316" s="12"/>
      <c r="R316" s="12"/>
      <c r="S316" s="12"/>
      <c r="T316" s="13" t="str">
        <f t="shared" si="20"/>
        <v>通過</v>
      </c>
      <c r="U316" s="13" t="str">
        <f t="shared" si="21"/>
        <v>這台機車性能很好</v>
      </c>
      <c r="V316" s="13" t="str">
        <f t="shared" si="22"/>
        <v>這/機車/機器/堅固/棒</v>
      </c>
      <c r="W316" s="13" t="str">
        <f t="shared" si="23"/>
        <v>是</v>
      </c>
      <c r="X316" s="13" t="str">
        <f t="shared" si="24"/>
        <v>通過</v>
      </c>
    </row>
    <row r="317" spans="1:24" ht="34" customHeight="1">
      <c r="A317" s="11" t="s">
        <v>1898</v>
      </c>
      <c r="B317" s="11" t="s">
        <v>1898</v>
      </c>
      <c r="C317" s="11" t="s">
        <v>54</v>
      </c>
      <c r="D317" s="11" t="s">
        <v>1899</v>
      </c>
      <c r="E317" s="11" t="s">
        <v>1900</v>
      </c>
      <c r="F317" s="11" t="s">
        <v>1901</v>
      </c>
      <c r="G317" s="11" t="s">
        <v>58</v>
      </c>
      <c r="H317" s="11" t="s">
        <v>1902</v>
      </c>
      <c r="I317" s="11" t="s">
        <v>1903</v>
      </c>
      <c r="J317" s="12" t="s">
        <v>8</v>
      </c>
      <c r="K317" s="12"/>
      <c r="L317" s="12"/>
      <c r="M317" s="12"/>
      <c r="N317" s="12"/>
      <c r="O317" s="12" t="s">
        <v>60</v>
      </c>
      <c r="P317" s="12"/>
      <c r="Q317" s="12"/>
      <c r="R317" s="12"/>
      <c r="S317" s="12"/>
      <c r="T317" s="13" t="str">
        <f t="shared" si="20"/>
        <v>通過</v>
      </c>
      <c r="U317" s="13" t="str">
        <f t="shared" si="21"/>
        <v>姐姐出門前會先化妝</v>
      </c>
      <c r="V317" s="13" t="str">
        <f t="shared" si="22"/>
        <v>姐姐/出/之前/會/什麼/化妝</v>
      </c>
      <c r="W317" s="13" t="str">
        <f t="shared" si="23"/>
        <v>是</v>
      </c>
      <c r="X317" s="13" t="str">
        <f t="shared" si="24"/>
        <v>通過</v>
      </c>
    </row>
    <row r="318" spans="1:24" ht="34" customHeight="1">
      <c r="A318" s="11" t="s">
        <v>1904</v>
      </c>
      <c r="B318" s="11" t="s">
        <v>1904</v>
      </c>
      <c r="C318" s="11" t="s">
        <v>54</v>
      </c>
      <c r="D318" s="11" t="s">
        <v>1905</v>
      </c>
      <c r="E318" s="11" t="s">
        <v>1906</v>
      </c>
      <c r="F318" s="11" t="s">
        <v>1907</v>
      </c>
      <c r="G318" s="11" t="s">
        <v>58</v>
      </c>
      <c r="H318" s="11" t="s">
        <v>1908</v>
      </c>
      <c r="I318" s="11" t="s">
        <v>1909</v>
      </c>
      <c r="J318" s="12" t="s">
        <v>10</v>
      </c>
      <c r="K318" s="12" t="s">
        <v>3239</v>
      </c>
      <c r="L318" s="12"/>
      <c r="M318" s="12" t="s">
        <v>3269</v>
      </c>
      <c r="N318" s="12" t="s">
        <v>3270</v>
      </c>
      <c r="O318" s="12" t="s">
        <v>60</v>
      </c>
      <c r="P318" s="12"/>
      <c r="Q318" s="12"/>
      <c r="R318" s="12"/>
      <c r="S318" s="12"/>
      <c r="T318" s="13" t="str">
        <f t="shared" si="20"/>
        <v>需更正</v>
      </c>
      <c r="U318" s="13" t="str">
        <f t="shared" si="21"/>
        <v>陳先生很喜歡那位小姐</v>
      </c>
      <c r="V318" s="13" t="str">
        <f t="shared" si="22"/>
        <v>那/女性/那/ 陳_A/先生/見/喜歡</v>
      </c>
      <c r="W318" s="13" t="str">
        <f t="shared" si="23"/>
        <v>是</v>
      </c>
      <c r="X318" s="13" t="str">
        <f t="shared" si="24"/>
        <v>通過</v>
      </c>
    </row>
    <row r="319" spans="1:24" ht="34" customHeight="1">
      <c r="A319" s="11" t="s">
        <v>1910</v>
      </c>
      <c r="B319" s="11" t="s">
        <v>1910</v>
      </c>
      <c r="C319" s="11" t="s">
        <v>54</v>
      </c>
      <c r="D319" s="11" t="s">
        <v>1905</v>
      </c>
      <c r="E319" s="11" t="s">
        <v>1911</v>
      </c>
      <c r="F319" s="11" t="s">
        <v>1912</v>
      </c>
      <c r="G319" s="11" t="s">
        <v>58</v>
      </c>
      <c r="H319" s="11" t="s">
        <v>1913</v>
      </c>
      <c r="I319" s="11" t="s">
        <v>1914</v>
      </c>
      <c r="J319" s="12" t="s">
        <v>8</v>
      </c>
      <c r="K319" s="12"/>
      <c r="L319" s="12"/>
      <c r="M319" s="12"/>
      <c r="N319" s="12"/>
      <c r="O319" s="12" t="s">
        <v>60</v>
      </c>
      <c r="P319" s="12"/>
      <c r="Q319" s="12"/>
      <c r="R319" s="12"/>
      <c r="S319" s="12"/>
      <c r="T319" s="13" t="str">
        <f t="shared" si="20"/>
        <v>通過</v>
      </c>
      <c r="U319" s="13" t="str">
        <f t="shared" si="21"/>
        <v>我不認識那個男生</v>
      </c>
      <c r="V319" s="13" t="str">
        <f t="shared" si="22"/>
        <v>他/男/我/見/不認識</v>
      </c>
      <c r="W319" s="13" t="str">
        <f t="shared" si="23"/>
        <v>是</v>
      </c>
      <c r="X319" s="13" t="str">
        <f t="shared" si="24"/>
        <v>通過</v>
      </c>
    </row>
    <row r="320" spans="1:24" ht="34" customHeight="1">
      <c r="A320" s="11" t="s">
        <v>1915</v>
      </c>
      <c r="B320" s="11" t="s">
        <v>1915</v>
      </c>
      <c r="C320" s="11" t="s">
        <v>54</v>
      </c>
      <c r="D320" s="11" t="s">
        <v>1916</v>
      </c>
      <c r="E320" s="11" t="s">
        <v>1917</v>
      </c>
      <c r="F320" s="11" t="s">
        <v>1918</v>
      </c>
      <c r="G320" s="11" t="s">
        <v>58</v>
      </c>
      <c r="H320" s="11" t="s">
        <v>1919</v>
      </c>
      <c r="I320" s="11" t="s">
        <v>1920</v>
      </c>
      <c r="J320" s="12" t="s">
        <v>8</v>
      </c>
      <c r="K320" s="12"/>
      <c r="L320" s="12"/>
      <c r="M320" s="12"/>
      <c r="N320" s="12"/>
      <c r="O320" s="12" t="s">
        <v>60</v>
      </c>
      <c r="P320" s="12"/>
      <c r="Q320" s="12"/>
      <c r="R320" s="12"/>
      <c r="S320" s="12"/>
      <c r="T320" s="13" t="str">
        <f t="shared" si="20"/>
        <v>通過</v>
      </c>
      <c r="U320" s="13" t="str">
        <f t="shared" si="21"/>
        <v>他有許多煩惱的事情</v>
      </c>
      <c r="V320" s="13" t="str">
        <f t="shared" si="22"/>
        <v>他/討厭/事情/多</v>
      </c>
      <c r="W320" s="13" t="str">
        <f t="shared" si="23"/>
        <v>是</v>
      </c>
      <c r="X320" s="13" t="str">
        <f t="shared" si="24"/>
        <v>通過</v>
      </c>
    </row>
    <row r="321" spans="1:24" ht="34" customHeight="1">
      <c r="A321" s="11" t="s">
        <v>1921</v>
      </c>
      <c r="B321" s="11" t="s">
        <v>1921</v>
      </c>
      <c r="C321" s="11" t="s">
        <v>54</v>
      </c>
      <c r="D321" s="11" t="s">
        <v>1922</v>
      </c>
      <c r="E321" s="11" t="s">
        <v>1923</v>
      </c>
      <c r="F321" s="11" t="s">
        <v>1924</v>
      </c>
      <c r="G321" s="11" t="s">
        <v>58</v>
      </c>
      <c r="H321" s="11" t="s">
        <v>1925</v>
      </c>
      <c r="I321" s="11" t="s">
        <v>1926</v>
      </c>
      <c r="J321" s="12" t="s">
        <v>8</v>
      </c>
      <c r="K321" s="12"/>
      <c r="L321" s="12"/>
      <c r="M321" s="12"/>
      <c r="N321" s="12"/>
      <c r="O321" s="12" t="s">
        <v>60</v>
      </c>
      <c r="P321" s="12"/>
      <c r="Q321" s="12"/>
      <c r="R321" s="12"/>
      <c r="S321" s="12"/>
      <c r="T321" s="13" t="str">
        <f t="shared" si="20"/>
        <v>通過</v>
      </c>
      <c r="U321" s="13" t="str">
        <f t="shared" si="21"/>
        <v>我們明年要結婚了</v>
      </c>
      <c r="V321" s="13" t="str">
        <f t="shared" si="22"/>
        <v>我們兩個/明年/結婚</v>
      </c>
      <c r="W321" s="13" t="str">
        <f t="shared" si="23"/>
        <v>是</v>
      </c>
      <c r="X321" s="13" t="str">
        <f t="shared" si="24"/>
        <v>通過</v>
      </c>
    </row>
    <row r="322" spans="1:24" ht="34" customHeight="1">
      <c r="A322" s="11" t="s">
        <v>1927</v>
      </c>
      <c r="B322" s="11" t="s">
        <v>1927</v>
      </c>
      <c r="C322" s="11" t="s">
        <v>54</v>
      </c>
      <c r="D322" s="11" t="s">
        <v>1922</v>
      </c>
      <c r="E322" s="11" t="s">
        <v>1928</v>
      </c>
      <c r="F322" s="11" t="s">
        <v>1929</v>
      </c>
      <c r="G322" s="11" t="s">
        <v>58</v>
      </c>
      <c r="H322" s="11" t="s">
        <v>1930</v>
      </c>
      <c r="I322" s="11" t="s">
        <v>1931</v>
      </c>
      <c r="J322" s="12" t="s">
        <v>8</v>
      </c>
      <c r="K322" s="12"/>
      <c r="L322" s="12"/>
      <c r="M322" s="12"/>
      <c r="N322" s="12"/>
      <c r="O322" s="12" t="s">
        <v>60</v>
      </c>
      <c r="P322" s="12"/>
      <c r="Q322" s="12"/>
      <c r="R322" s="12"/>
      <c r="S322" s="12"/>
      <c r="T322" s="13" t="str">
        <f t="shared" ref="T322:T385" si="25">IF(J322="","未填",IF(J322="需複審",IF(OR(P322="",P322="仍需複審"),"待複審",P322),J322))</f>
        <v>通過</v>
      </c>
      <c r="U322" s="13" t="str">
        <f t="shared" ref="U322:U385" si="26">IF(T322="通過",E322,IF(T322="需更正",IF(J322="需複審",IF(Q322="",E322,Q322),IF(L322="",E322,L322)),""))</f>
        <v>你願意和我結婚嗎?</v>
      </c>
      <c r="V322" s="13" t="str">
        <f t="shared" ref="V322:V385" si="27">IF(T322="通過",F322,IF(T322="需更正",IF(J322="需複審",R322,M322),""))</f>
        <v>結婚/願意</v>
      </c>
      <c r="W322" s="13" t="str">
        <f t="shared" ref="W322:W385" si="28">IF(AND(OR(T322="通過",AND(T322="需更正",V322&lt;&gt;"")),X322="通過"),"是","否")</f>
        <v>是</v>
      </c>
      <c r="X322" s="13" t="str">
        <f t="shared" ref="X322:X385" si="29">IF(J322="","未填",IF(AND(J322="需複審",OR(P322="",P322="仍需複審")),"待複審",IF(OR(AND(J322="需更正",K322=""),AND(J322="需更正",M322=""),AND(J322="需更正",N322=""),AND(J322="排除",OR(K322="",N322="")),AND(J322="需複審",P322="需更正",R322=""),AND(J322="需複審",P322="需更正",S322=""),AND(J322="需複審",P322="排除",S322="")),"錯誤：請補齊必填欄位","通過")))</f>
        <v>通過</v>
      </c>
    </row>
    <row r="323" spans="1:24" ht="34" customHeight="1">
      <c r="A323" s="11" t="s">
        <v>1932</v>
      </c>
      <c r="B323" s="11" t="s">
        <v>1932</v>
      </c>
      <c r="C323" s="11" t="s">
        <v>54</v>
      </c>
      <c r="D323" s="11" t="s">
        <v>1933</v>
      </c>
      <c r="E323" s="11" t="s">
        <v>1934</v>
      </c>
      <c r="F323" s="11" t="s">
        <v>1935</v>
      </c>
      <c r="G323" s="11" t="s">
        <v>58</v>
      </c>
      <c r="H323" s="11" t="s">
        <v>1936</v>
      </c>
      <c r="I323" s="11" t="s">
        <v>1937</v>
      </c>
      <c r="J323" s="12" t="s">
        <v>8</v>
      </c>
      <c r="K323" s="12"/>
      <c r="L323" s="12"/>
      <c r="M323" s="12"/>
      <c r="N323" s="12"/>
      <c r="O323" s="12" t="s">
        <v>60</v>
      </c>
      <c r="P323" s="12"/>
      <c r="Q323" s="12"/>
      <c r="R323" s="12"/>
      <c r="S323" s="12"/>
      <c r="T323" s="13" t="str">
        <f t="shared" si="25"/>
        <v>通過</v>
      </c>
      <c r="U323" s="13" t="str">
        <f t="shared" si="26"/>
        <v>他的房間很亂</v>
      </c>
      <c r="V323" s="13" t="str">
        <f t="shared" si="27"/>
        <v>他/家/住/家裡/亂</v>
      </c>
      <c r="W323" s="13" t="str">
        <f t="shared" si="28"/>
        <v>是</v>
      </c>
      <c r="X323" s="13" t="str">
        <f t="shared" si="29"/>
        <v>通過</v>
      </c>
    </row>
    <row r="324" spans="1:24" ht="34" customHeight="1">
      <c r="A324" s="11" t="s">
        <v>1938</v>
      </c>
      <c r="B324" s="11" t="s">
        <v>1938</v>
      </c>
      <c r="C324" s="11" t="s">
        <v>54</v>
      </c>
      <c r="D324" s="11" t="s">
        <v>1939</v>
      </c>
      <c r="E324" s="11" t="s">
        <v>1940</v>
      </c>
      <c r="F324" s="11" t="s">
        <v>1941</v>
      </c>
      <c r="G324" s="11" t="s">
        <v>58</v>
      </c>
      <c r="H324" s="11" t="s">
        <v>1942</v>
      </c>
      <c r="I324" s="11" t="s">
        <v>1943</v>
      </c>
      <c r="J324" s="12" t="s">
        <v>8</v>
      </c>
      <c r="K324" s="12"/>
      <c r="L324" s="12"/>
      <c r="M324" s="12"/>
      <c r="N324" s="12"/>
      <c r="O324" s="12" t="s">
        <v>60</v>
      </c>
      <c r="P324" s="12"/>
      <c r="Q324" s="12"/>
      <c r="R324" s="12"/>
      <c r="S324" s="12"/>
      <c r="T324" s="13" t="str">
        <f t="shared" si="25"/>
        <v>通過</v>
      </c>
      <c r="U324" s="13" t="str">
        <f t="shared" si="26"/>
        <v>哥哥教弟弟寫數學功課</v>
      </c>
      <c r="V324" s="13" t="str">
        <f t="shared" si="27"/>
        <v>弟弟/數學/寫/哥哥/教</v>
      </c>
      <c r="W324" s="13" t="str">
        <f t="shared" si="28"/>
        <v>是</v>
      </c>
      <c r="X324" s="13" t="str">
        <f t="shared" si="29"/>
        <v>通過</v>
      </c>
    </row>
    <row r="325" spans="1:24" ht="34" customHeight="1">
      <c r="A325" s="11" t="s">
        <v>1944</v>
      </c>
      <c r="B325" s="11" t="s">
        <v>1944</v>
      </c>
      <c r="C325" s="11" t="s">
        <v>54</v>
      </c>
      <c r="D325" s="11" t="s">
        <v>1945</v>
      </c>
      <c r="E325" s="11" t="s">
        <v>1946</v>
      </c>
      <c r="F325" s="11" t="s">
        <v>1947</v>
      </c>
      <c r="G325" s="11" t="s">
        <v>58</v>
      </c>
      <c r="H325" s="11" t="s">
        <v>1948</v>
      </c>
      <c r="I325" s="11" t="s">
        <v>1949</v>
      </c>
      <c r="J325" s="12" t="s">
        <v>8</v>
      </c>
      <c r="K325" s="12"/>
      <c r="L325" s="12"/>
      <c r="M325" s="12"/>
      <c r="N325" s="12"/>
      <c r="O325" s="12" t="s">
        <v>60</v>
      </c>
      <c r="P325" s="12"/>
      <c r="Q325" s="12"/>
      <c r="R325" s="12"/>
      <c r="S325" s="12"/>
      <c r="T325" s="13" t="str">
        <f t="shared" si="25"/>
        <v>通過</v>
      </c>
      <c r="U325" s="13" t="str">
        <f t="shared" si="26"/>
        <v>她可以跟我們一起去旅遊嗎?</v>
      </c>
      <c r="V325" s="13" t="str">
        <f t="shared" si="27"/>
        <v>我們/一起/去/旅行/玩/她/加入/可以</v>
      </c>
      <c r="W325" s="13" t="str">
        <f t="shared" si="28"/>
        <v>是</v>
      </c>
      <c r="X325" s="13" t="str">
        <f t="shared" si="29"/>
        <v>通過</v>
      </c>
    </row>
    <row r="326" spans="1:24" ht="34" customHeight="1">
      <c r="A326" s="11" t="s">
        <v>1950</v>
      </c>
      <c r="B326" s="11" t="s">
        <v>1950</v>
      </c>
      <c r="C326" s="11" t="s">
        <v>54</v>
      </c>
      <c r="D326" s="11" t="s">
        <v>1945</v>
      </c>
      <c r="E326" s="11" t="s">
        <v>1951</v>
      </c>
      <c r="F326" s="11" t="s">
        <v>1952</v>
      </c>
      <c r="G326" s="11" t="s">
        <v>58</v>
      </c>
      <c r="H326" s="11" t="s">
        <v>1953</v>
      </c>
      <c r="I326" s="11" t="s">
        <v>1954</v>
      </c>
      <c r="J326" s="12" t="s">
        <v>8</v>
      </c>
      <c r="K326" s="12"/>
      <c r="L326" s="12"/>
      <c r="M326" s="12"/>
      <c r="N326" s="12"/>
      <c r="O326" s="12" t="s">
        <v>60</v>
      </c>
      <c r="P326" s="12"/>
      <c r="Q326" s="12"/>
      <c r="R326" s="12"/>
      <c r="S326" s="12"/>
      <c r="T326" s="13" t="str">
        <f t="shared" si="25"/>
        <v>通過</v>
      </c>
      <c r="U326" s="13" t="str">
        <f t="shared" si="26"/>
        <v>他可以完成所有事情</v>
      </c>
      <c r="V326" s="13" t="str">
        <f t="shared" si="27"/>
        <v>全部/事情/他/全部/做/結束/行/可以</v>
      </c>
      <c r="W326" s="13" t="str">
        <f t="shared" si="28"/>
        <v>是</v>
      </c>
      <c r="X326" s="13" t="str">
        <f t="shared" si="29"/>
        <v>通過</v>
      </c>
    </row>
    <row r="327" spans="1:24" ht="34" customHeight="1">
      <c r="A327" s="11" t="s">
        <v>1955</v>
      </c>
      <c r="B327" s="11" t="s">
        <v>1955</v>
      </c>
      <c r="C327" s="11" t="s">
        <v>54</v>
      </c>
      <c r="D327" s="11" t="s">
        <v>1956</v>
      </c>
      <c r="E327" s="11" t="s">
        <v>1957</v>
      </c>
      <c r="F327" s="11" t="s">
        <v>1958</v>
      </c>
      <c r="G327" s="11" t="s">
        <v>58</v>
      </c>
      <c r="H327" s="11" t="s">
        <v>1959</v>
      </c>
      <c r="I327" s="11" t="s">
        <v>1960</v>
      </c>
      <c r="J327" s="12" t="s">
        <v>8</v>
      </c>
      <c r="K327" s="12"/>
      <c r="L327" s="12"/>
      <c r="M327" s="12"/>
      <c r="N327" s="12"/>
      <c r="O327" s="12" t="s">
        <v>60</v>
      </c>
      <c r="P327" s="12"/>
      <c r="Q327" s="12"/>
      <c r="R327" s="12"/>
      <c r="S327" s="12"/>
      <c r="T327" s="13" t="str">
        <f t="shared" si="25"/>
        <v>通過</v>
      </c>
      <c r="U327" s="13" t="str">
        <f t="shared" si="26"/>
        <v>等一下去藥局領藥</v>
      </c>
      <c r="V327" s="13" t="str">
        <f t="shared" si="27"/>
        <v>等/去/藥局/藥/拿</v>
      </c>
      <c r="W327" s="13" t="str">
        <f t="shared" si="28"/>
        <v>是</v>
      </c>
      <c r="X327" s="13" t="str">
        <f t="shared" si="29"/>
        <v>通過</v>
      </c>
    </row>
    <row r="328" spans="1:24" ht="34" customHeight="1">
      <c r="A328" s="11" t="s">
        <v>1961</v>
      </c>
      <c r="B328" s="11" t="s">
        <v>1961</v>
      </c>
      <c r="C328" s="11" t="s">
        <v>54</v>
      </c>
      <c r="D328" s="11" t="s">
        <v>1962</v>
      </c>
      <c r="E328" s="11" t="s">
        <v>1963</v>
      </c>
      <c r="F328" s="11" t="s">
        <v>1964</v>
      </c>
      <c r="G328" s="11" t="s">
        <v>58</v>
      </c>
      <c r="H328" s="11" t="s">
        <v>1965</v>
      </c>
      <c r="I328" s="11" t="s">
        <v>1966</v>
      </c>
      <c r="J328" s="12" t="s">
        <v>8</v>
      </c>
      <c r="K328" s="12"/>
      <c r="L328" s="12"/>
      <c r="M328" s="12"/>
      <c r="N328" s="12"/>
      <c r="O328" s="12" t="s">
        <v>60</v>
      </c>
      <c r="P328" s="12"/>
      <c r="Q328" s="12"/>
      <c r="R328" s="12"/>
      <c r="S328" s="12"/>
      <c r="T328" s="13" t="str">
        <f t="shared" si="25"/>
        <v>通過</v>
      </c>
      <c r="U328" s="13" t="str">
        <f t="shared" si="26"/>
        <v>我們下次再見面</v>
      </c>
      <c r="V328" s="13" t="str">
        <f t="shared" si="27"/>
        <v>我們/下/再/見面</v>
      </c>
      <c r="W328" s="13" t="str">
        <f t="shared" si="28"/>
        <v>是</v>
      </c>
      <c r="X328" s="13" t="str">
        <f t="shared" si="29"/>
        <v>通過</v>
      </c>
    </row>
    <row r="329" spans="1:24" ht="34" customHeight="1">
      <c r="A329" s="11" t="s">
        <v>1967</v>
      </c>
      <c r="B329" s="11" t="s">
        <v>1967</v>
      </c>
      <c r="C329" s="11" t="s">
        <v>54</v>
      </c>
      <c r="D329" s="11" t="s">
        <v>1968</v>
      </c>
      <c r="E329" s="11" t="s">
        <v>1969</v>
      </c>
      <c r="F329" s="11" t="s">
        <v>1970</v>
      </c>
      <c r="G329" s="11" t="s">
        <v>58</v>
      </c>
      <c r="H329" s="11" t="s">
        <v>1971</v>
      </c>
      <c r="I329" s="11" t="s">
        <v>1972</v>
      </c>
      <c r="J329" s="12" t="s">
        <v>8</v>
      </c>
      <c r="K329" s="12"/>
      <c r="L329" s="12"/>
      <c r="M329" s="12"/>
      <c r="N329" s="12"/>
      <c r="O329" s="12" t="s">
        <v>60</v>
      </c>
      <c r="P329" s="12"/>
      <c r="Q329" s="12"/>
      <c r="R329" s="12"/>
      <c r="S329" s="12"/>
      <c r="T329" s="13" t="str">
        <f t="shared" si="25"/>
        <v>通過</v>
      </c>
      <c r="U329" s="13" t="str">
        <f t="shared" si="26"/>
        <v>每個星期一都要開會</v>
      </c>
      <c r="V329" s="13" t="str">
        <f t="shared" si="27"/>
        <v>每個星期/星期一/開會/一樣</v>
      </c>
      <c r="W329" s="13" t="str">
        <f t="shared" si="28"/>
        <v>是</v>
      </c>
      <c r="X329" s="13" t="str">
        <f t="shared" si="29"/>
        <v>通過</v>
      </c>
    </row>
    <row r="330" spans="1:24" ht="34" customHeight="1">
      <c r="A330" s="11" t="s">
        <v>1973</v>
      </c>
      <c r="B330" s="11" t="s">
        <v>1973</v>
      </c>
      <c r="C330" s="11" t="s">
        <v>54</v>
      </c>
      <c r="D330" s="11" t="s">
        <v>1968</v>
      </c>
      <c r="E330" s="11" t="s">
        <v>1974</v>
      </c>
      <c r="F330" s="11" t="s">
        <v>1975</v>
      </c>
      <c r="G330" s="11" t="s">
        <v>58</v>
      </c>
      <c r="H330" s="11" t="s">
        <v>1976</v>
      </c>
      <c r="I330" s="11" t="s">
        <v>1977</v>
      </c>
      <c r="J330" s="12" t="s">
        <v>8</v>
      </c>
      <c r="K330" s="12"/>
      <c r="L330" s="12"/>
      <c r="M330" s="12"/>
      <c r="N330" s="12"/>
      <c r="O330" s="12" t="s">
        <v>60</v>
      </c>
      <c r="P330" s="12"/>
      <c r="Q330" s="12"/>
      <c r="R330" s="12"/>
      <c r="S330" s="12"/>
      <c r="T330" s="13" t="str">
        <f t="shared" si="25"/>
        <v>通過</v>
      </c>
      <c r="U330" s="13" t="str">
        <f t="shared" si="26"/>
        <v>這次會議因人數過多而取消</v>
      </c>
      <c r="V330" s="13" t="str">
        <f t="shared" si="27"/>
        <v>這/會議/那/人/參加/多/怎麼辦/取消</v>
      </c>
      <c r="W330" s="13" t="str">
        <f t="shared" si="28"/>
        <v>是</v>
      </c>
      <c r="X330" s="13" t="str">
        <f t="shared" si="29"/>
        <v>通過</v>
      </c>
    </row>
    <row r="331" spans="1:24" ht="34" customHeight="1">
      <c r="A331" s="11" t="s">
        <v>1978</v>
      </c>
      <c r="B331" s="11" t="s">
        <v>1978</v>
      </c>
      <c r="C331" s="11" t="s">
        <v>54</v>
      </c>
      <c r="D331" s="11" t="s">
        <v>1979</v>
      </c>
      <c r="E331" s="11" t="s">
        <v>1980</v>
      </c>
      <c r="F331" s="11" t="s">
        <v>1981</v>
      </c>
      <c r="G331" s="11" t="s">
        <v>58</v>
      </c>
      <c r="H331" s="11" t="s">
        <v>1982</v>
      </c>
      <c r="I331" s="11" t="s">
        <v>1983</v>
      </c>
      <c r="J331" s="12" t="s">
        <v>8</v>
      </c>
      <c r="K331" s="12"/>
      <c r="L331" s="12"/>
      <c r="M331" s="12"/>
      <c r="N331" s="12"/>
      <c r="O331" s="12" t="s">
        <v>60</v>
      </c>
      <c r="P331" s="12"/>
      <c r="Q331" s="12"/>
      <c r="R331" s="12"/>
      <c r="S331" s="12"/>
      <c r="T331" s="13" t="str">
        <f t="shared" si="25"/>
        <v>通過</v>
      </c>
      <c r="U331" s="13" t="str">
        <f t="shared" si="26"/>
        <v>嬰兒要喝奶</v>
      </c>
      <c r="V331" s="13" t="str">
        <f t="shared" si="27"/>
        <v>嬰兒/奶/要</v>
      </c>
      <c r="W331" s="13" t="str">
        <f t="shared" si="28"/>
        <v>是</v>
      </c>
      <c r="X331" s="13" t="str">
        <f t="shared" si="29"/>
        <v>通過</v>
      </c>
    </row>
    <row r="332" spans="1:24" ht="34" customHeight="1">
      <c r="A332" s="11" t="s">
        <v>1984</v>
      </c>
      <c r="B332" s="11" t="s">
        <v>1984</v>
      </c>
      <c r="C332" s="11" t="s">
        <v>54</v>
      </c>
      <c r="D332" s="11" t="s">
        <v>1985</v>
      </c>
      <c r="E332" s="11" t="s">
        <v>1986</v>
      </c>
      <c r="F332" s="11" t="s">
        <v>1987</v>
      </c>
      <c r="G332" s="11" t="s">
        <v>58</v>
      </c>
      <c r="H332" s="11" t="s">
        <v>1988</v>
      </c>
      <c r="I332" s="11" t="s">
        <v>1989</v>
      </c>
      <c r="J332" s="12" t="s">
        <v>8</v>
      </c>
      <c r="K332" s="12"/>
      <c r="L332" s="12"/>
      <c r="M332" s="12"/>
      <c r="N332" s="12"/>
      <c r="O332" s="12" t="s">
        <v>60</v>
      </c>
      <c r="P332" s="12"/>
      <c r="Q332" s="12"/>
      <c r="R332" s="12"/>
      <c r="S332" s="12"/>
      <c r="T332" s="13" t="str">
        <f t="shared" si="25"/>
        <v>通過</v>
      </c>
      <c r="U332" s="13" t="str">
        <f t="shared" si="26"/>
        <v>考試時要仔細，別看錯題目</v>
      </c>
      <c r="V332" s="13" t="str">
        <f t="shared" si="27"/>
        <v>你/考試/閱讀/題/要/閱讀/看/見/錯/不行/仔細看/要</v>
      </c>
      <c r="W332" s="13" t="str">
        <f t="shared" si="28"/>
        <v>是</v>
      </c>
      <c r="X332" s="13" t="str">
        <f t="shared" si="29"/>
        <v>通過</v>
      </c>
    </row>
    <row r="333" spans="1:24" ht="34" customHeight="1">
      <c r="A333" s="11" t="s">
        <v>1990</v>
      </c>
      <c r="B333" s="11" t="s">
        <v>1990</v>
      </c>
      <c r="C333" s="11" t="s">
        <v>54</v>
      </c>
      <c r="D333" s="11" t="s">
        <v>1991</v>
      </c>
      <c r="E333" s="11" t="s">
        <v>1992</v>
      </c>
      <c r="F333" s="11" t="s">
        <v>1993</v>
      </c>
      <c r="G333" s="11" t="s">
        <v>58</v>
      </c>
      <c r="H333" s="11" t="s">
        <v>1994</v>
      </c>
      <c r="I333" s="11" t="s">
        <v>1995</v>
      </c>
      <c r="J333" s="12" t="s">
        <v>10</v>
      </c>
      <c r="K333" s="12" t="s">
        <v>3243</v>
      </c>
      <c r="L333" s="12"/>
      <c r="M333" s="12" t="s">
        <v>3271</v>
      </c>
      <c r="N333" s="12" t="s">
        <v>3272</v>
      </c>
      <c r="O333" s="12" t="s">
        <v>60</v>
      </c>
      <c r="P333" s="12"/>
      <c r="Q333" s="12"/>
      <c r="R333" s="12"/>
      <c r="S333" s="12"/>
      <c r="T333" s="13" t="str">
        <f t="shared" si="25"/>
        <v>需更正</v>
      </c>
      <c r="U333" s="13" t="str">
        <f t="shared" si="26"/>
        <v>出門記得要帶錢</v>
      </c>
      <c r="V333" s="13" t="str">
        <f t="shared" si="27"/>
        <v>出/記得/錢/放口袋</v>
      </c>
      <c r="W333" s="13" t="str">
        <f t="shared" si="28"/>
        <v>是</v>
      </c>
      <c r="X333" s="13" t="str">
        <f t="shared" si="29"/>
        <v>通過</v>
      </c>
    </row>
    <row r="334" spans="1:24" ht="34" customHeight="1">
      <c r="A334" s="11" t="s">
        <v>1996</v>
      </c>
      <c r="B334" s="11" t="s">
        <v>1996</v>
      </c>
      <c r="C334" s="11" t="s">
        <v>54</v>
      </c>
      <c r="D334" s="11" t="s">
        <v>1997</v>
      </c>
      <c r="E334" s="11" t="s">
        <v>1998</v>
      </c>
      <c r="F334" s="11" t="s">
        <v>1999</v>
      </c>
      <c r="G334" s="11" t="s">
        <v>58</v>
      </c>
      <c r="H334" s="11" t="s">
        <v>2000</v>
      </c>
      <c r="I334" s="11" t="s">
        <v>2001</v>
      </c>
      <c r="J334" s="12" t="s">
        <v>8</v>
      </c>
      <c r="K334" s="12"/>
      <c r="L334" s="12"/>
      <c r="M334" s="12"/>
      <c r="N334" s="12"/>
      <c r="O334" s="12" t="s">
        <v>60</v>
      </c>
      <c r="P334" s="12"/>
      <c r="Q334" s="12"/>
      <c r="R334" s="12"/>
      <c r="S334" s="12"/>
      <c r="T334" s="13" t="str">
        <f t="shared" si="25"/>
        <v>通過</v>
      </c>
      <c r="U334" s="13" t="str">
        <f t="shared" si="26"/>
        <v>媽媽是全天下最好的</v>
      </c>
      <c r="V334" s="13" t="str">
        <f t="shared" si="27"/>
        <v>媽媽/全世界/好/第一名/好</v>
      </c>
      <c r="W334" s="13" t="str">
        <f t="shared" si="28"/>
        <v>是</v>
      </c>
      <c r="X334" s="13" t="str">
        <f t="shared" si="29"/>
        <v>通過</v>
      </c>
    </row>
    <row r="335" spans="1:24" ht="34" customHeight="1">
      <c r="A335" s="11" t="s">
        <v>2002</v>
      </c>
      <c r="B335" s="11" t="s">
        <v>2002</v>
      </c>
      <c r="C335" s="11" t="s">
        <v>54</v>
      </c>
      <c r="D335" s="11" t="s">
        <v>2003</v>
      </c>
      <c r="E335" s="11" t="s">
        <v>2004</v>
      </c>
      <c r="F335" s="11" t="s">
        <v>2005</v>
      </c>
      <c r="G335" s="11" t="s">
        <v>58</v>
      </c>
      <c r="H335" s="11" t="s">
        <v>2006</v>
      </c>
      <c r="I335" s="11" t="s">
        <v>2007</v>
      </c>
      <c r="J335" s="12" t="s">
        <v>8</v>
      </c>
      <c r="K335" s="12"/>
      <c r="L335" s="12"/>
      <c r="M335" s="12"/>
      <c r="N335" s="12"/>
      <c r="O335" s="12" t="s">
        <v>60</v>
      </c>
      <c r="P335" s="12"/>
      <c r="Q335" s="12"/>
      <c r="R335" s="12"/>
      <c r="S335" s="12"/>
      <c r="T335" s="13" t="str">
        <f t="shared" si="25"/>
        <v>通過</v>
      </c>
      <c r="U335" s="13" t="str">
        <f t="shared" si="26"/>
        <v>昨天阿姨來我家玩</v>
      </c>
      <c r="V335" s="13" t="str">
        <f t="shared" si="27"/>
        <v>昨天/阿姨/來我家/玩</v>
      </c>
      <c r="W335" s="13" t="str">
        <f t="shared" si="28"/>
        <v>是</v>
      </c>
      <c r="X335" s="13" t="str">
        <f t="shared" si="29"/>
        <v>通過</v>
      </c>
    </row>
    <row r="336" spans="1:24" ht="34" customHeight="1">
      <c r="A336" s="11" t="s">
        <v>2008</v>
      </c>
      <c r="B336" s="11" t="s">
        <v>2008</v>
      </c>
      <c r="C336" s="11" t="s">
        <v>54</v>
      </c>
      <c r="D336" s="11" t="s">
        <v>2009</v>
      </c>
      <c r="E336" s="11" t="s">
        <v>2010</v>
      </c>
      <c r="F336" s="11" t="s">
        <v>2011</v>
      </c>
      <c r="G336" s="11" t="s">
        <v>58</v>
      </c>
      <c r="H336" s="11" t="s">
        <v>2012</v>
      </c>
      <c r="I336" s="11" t="s">
        <v>2013</v>
      </c>
      <c r="J336" s="12" t="s">
        <v>8</v>
      </c>
      <c r="K336" s="12"/>
      <c r="L336" s="12"/>
      <c r="M336" s="12"/>
      <c r="N336" s="12"/>
      <c r="O336" s="12" t="s">
        <v>60</v>
      </c>
      <c r="P336" s="12"/>
      <c r="Q336" s="12"/>
      <c r="R336" s="12"/>
      <c r="S336" s="12"/>
      <c r="T336" s="13" t="str">
        <f t="shared" si="25"/>
        <v>通過</v>
      </c>
      <c r="U336" s="13" t="str">
        <f t="shared" si="26"/>
        <v>一台機車要價五萬，很貴</v>
      </c>
      <c r="V336" s="13" t="str">
        <f t="shared" si="27"/>
        <v>機車/一/五萬/貴</v>
      </c>
      <c r="W336" s="13" t="str">
        <f t="shared" si="28"/>
        <v>是</v>
      </c>
      <c r="X336" s="13" t="str">
        <f t="shared" si="29"/>
        <v>通過</v>
      </c>
    </row>
    <row r="337" spans="1:24" ht="34" customHeight="1">
      <c r="A337" s="11" t="s">
        <v>2014</v>
      </c>
      <c r="B337" s="11" t="s">
        <v>2014</v>
      </c>
      <c r="C337" s="11" t="s">
        <v>54</v>
      </c>
      <c r="D337" s="11" t="s">
        <v>2015</v>
      </c>
      <c r="E337" s="11" t="s">
        <v>2016</v>
      </c>
      <c r="F337" s="11" t="s">
        <v>2017</v>
      </c>
      <c r="G337" s="11" t="s">
        <v>58</v>
      </c>
      <c r="H337" s="11" t="s">
        <v>2018</v>
      </c>
      <c r="I337" s="11" t="s">
        <v>2019</v>
      </c>
      <c r="J337" s="12" t="s">
        <v>8</v>
      </c>
      <c r="K337" s="12"/>
      <c r="L337" s="12"/>
      <c r="M337" s="12"/>
      <c r="N337" s="12"/>
      <c r="O337" s="12" t="s">
        <v>60</v>
      </c>
      <c r="P337" s="12"/>
      <c r="Q337" s="12"/>
      <c r="R337" s="12"/>
      <c r="S337" s="12"/>
      <c r="T337" s="13" t="str">
        <f t="shared" si="25"/>
        <v>通過</v>
      </c>
      <c r="U337" s="13" t="str">
        <f t="shared" si="26"/>
        <v>我上禮拜跟爸爸去爬山</v>
      </c>
      <c r="V337" s="13" t="str">
        <f t="shared" si="27"/>
        <v>上個星期/我/爸爸/我倆/去/爬山/山</v>
      </c>
      <c r="W337" s="13" t="str">
        <f t="shared" si="28"/>
        <v>是</v>
      </c>
      <c r="X337" s="13" t="str">
        <f t="shared" si="29"/>
        <v>通過</v>
      </c>
    </row>
    <row r="338" spans="1:24" ht="34" customHeight="1">
      <c r="A338" s="11" t="s">
        <v>2020</v>
      </c>
      <c r="B338" s="11" t="s">
        <v>2020</v>
      </c>
      <c r="C338" s="11" t="s">
        <v>54</v>
      </c>
      <c r="D338" s="11" t="s">
        <v>2021</v>
      </c>
      <c r="E338" s="11" t="s">
        <v>2022</v>
      </c>
      <c r="F338" s="11" t="s">
        <v>2023</v>
      </c>
      <c r="G338" s="11" t="s">
        <v>58</v>
      </c>
      <c r="H338" s="11" t="s">
        <v>2024</v>
      </c>
      <c r="I338" s="11" t="s">
        <v>2025</v>
      </c>
      <c r="J338" s="12" t="s">
        <v>8</v>
      </c>
      <c r="K338" s="12"/>
      <c r="L338" s="12"/>
      <c r="M338" s="12"/>
      <c r="N338" s="12"/>
      <c r="O338" s="12" t="s">
        <v>60</v>
      </c>
      <c r="P338" s="12"/>
      <c r="Q338" s="12"/>
      <c r="R338" s="12"/>
      <c r="S338" s="12"/>
      <c r="T338" s="13" t="str">
        <f t="shared" si="25"/>
        <v>通過</v>
      </c>
      <c r="U338" s="13" t="str">
        <f t="shared" si="26"/>
        <v>要隨時保持口腔清潔</v>
      </c>
      <c r="V338" s="13" t="str">
        <f t="shared" si="27"/>
        <v>隨意/時間/口/乾淨/保護/依然</v>
      </c>
      <c r="W338" s="13" t="str">
        <f t="shared" si="28"/>
        <v>是</v>
      </c>
      <c r="X338" s="13" t="str">
        <f t="shared" si="29"/>
        <v>通過</v>
      </c>
    </row>
    <row r="339" spans="1:24" ht="34" customHeight="1">
      <c r="A339" s="11" t="s">
        <v>2026</v>
      </c>
      <c r="B339" s="11" t="s">
        <v>2026</v>
      </c>
      <c r="C339" s="11" t="s">
        <v>54</v>
      </c>
      <c r="D339" s="11" t="s">
        <v>2027</v>
      </c>
      <c r="E339" s="11" t="s">
        <v>2028</v>
      </c>
      <c r="F339" s="11" t="s">
        <v>2029</v>
      </c>
      <c r="G339" s="11" t="s">
        <v>58</v>
      </c>
      <c r="H339" s="11" t="s">
        <v>2030</v>
      </c>
      <c r="I339" s="11" t="s">
        <v>2031</v>
      </c>
      <c r="J339" s="12" t="s">
        <v>8</v>
      </c>
      <c r="K339" s="12"/>
      <c r="L339" s="12"/>
      <c r="M339" s="12"/>
      <c r="N339" s="12"/>
      <c r="O339" s="12" t="s">
        <v>60</v>
      </c>
      <c r="P339" s="12"/>
      <c r="Q339" s="12"/>
      <c r="R339" s="12"/>
      <c r="S339" s="12"/>
      <c r="T339" s="13" t="str">
        <f t="shared" si="25"/>
        <v>通過</v>
      </c>
      <c r="U339" s="13" t="str">
        <f t="shared" si="26"/>
        <v>登山是其中一種戶外活動</v>
      </c>
      <c r="V339" s="13" t="str">
        <f t="shared" si="27"/>
        <v>戶/外/活動/其中/一/爬山</v>
      </c>
      <c r="W339" s="13" t="str">
        <f t="shared" si="28"/>
        <v>是</v>
      </c>
      <c r="X339" s="13" t="str">
        <f t="shared" si="29"/>
        <v>通過</v>
      </c>
    </row>
    <row r="340" spans="1:24" ht="34" customHeight="1">
      <c r="A340" s="11" t="s">
        <v>2032</v>
      </c>
      <c r="B340" s="11" t="s">
        <v>2032</v>
      </c>
      <c r="C340" s="11" t="s">
        <v>54</v>
      </c>
      <c r="D340" s="11" t="s">
        <v>2033</v>
      </c>
      <c r="E340" s="11" t="s">
        <v>2034</v>
      </c>
      <c r="F340" s="11" t="s">
        <v>2035</v>
      </c>
      <c r="G340" s="11" t="s">
        <v>58</v>
      </c>
      <c r="H340" s="11" t="s">
        <v>2036</v>
      </c>
      <c r="I340" s="11" t="s">
        <v>2037</v>
      </c>
      <c r="J340" s="12" t="s">
        <v>8</v>
      </c>
      <c r="K340" s="12"/>
      <c r="L340" s="12"/>
      <c r="M340" s="12"/>
      <c r="N340" s="12"/>
      <c r="O340" s="12" t="s">
        <v>60</v>
      </c>
      <c r="P340" s="12"/>
      <c r="Q340" s="12"/>
      <c r="R340" s="12"/>
      <c r="S340" s="12"/>
      <c r="T340" s="13" t="str">
        <f t="shared" si="25"/>
        <v>通過</v>
      </c>
      <c r="U340" s="13" t="str">
        <f t="shared" si="26"/>
        <v>看電影時請保持安靜</v>
      </c>
      <c r="V340" s="13" t="str">
        <f t="shared" si="27"/>
        <v>電影/欣賞/安靜/保持</v>
      </c>
      <c r="W340" s="13" t="str">
        <f t="shared" si="28"/>
        <v>是</v>
      </c>
      <c r="X340" s="13" t="str">
        <f t="shared" si="29"/>
        <v>通過</v>
      </c>
    </row>
    <row r="341" spans="1:24" ht="34" customHeight="1">
      <c r="A341" s="11" t="s">
        <v>2038</v>
      </c>
      <c r="B341" s="11" t="s">
        <v>2038</v>
      </c>
      <c r="C341" s="11" t="s">
        <v>54</v>
      </c>
      <c r="D341" s="11" t="s">
        <v>2039</v>
      </c>
      <c r="E341" s="11" t="s">
        <v>2040</v>
      </c>
      <c r="F341" s="11" t="s">
        <v>2041</v>
      </c>
      <c r="G341" s="11" t="s">
        <v>58</v>
      </c>
      <c r="H341" s="11" t="s">
        <v>2042</v>
      </c>
      <c r="I341" s="11" t="s">
        <v>2043</v>
      </c>
      <c r="J341" s="12" t="s">
        <v>8</v>
      </c>
      <c r="K341" s="12"/>
      <c r="L341" s="12"/>
      <c r="M341" s="12"/>
      <c r="N341" s="12"/>
      <c r="O341" s="12" t="s">
        <v>60</v>
      </c>
      <c r="P341" s="12"/>
      <c r="Q341" s="12"/>
      <c r="R341" s="12"/>
      <c r="S341" s="12"/>
      <c r="T341" s="13" t="str">
        <f t="shared" si="25"/>
        <v>通過</v>
      </c>
      <c r="U341" s="13" t="str">
        <f t="shared" si="26"/>
        <v>搬家很辛苦</v>
      </c>
      <c r="V341" s="13" t="str">
        <f t="shared" si="27"/>
        <v>搬家/辛苦</v>
      </c>
      <c r="W341" s="13" t="str">
        <f t="shared" si="28"/>
        <v>是</v>
      </c>
      <c r="X341" s="13" t="str">
        <f t="shared" si="29"/>
        <v>通過</v>
      </c>
    </row>
    <row r="342" spans="1:24" ht="34" customHeight="1">
      <c r="A342" s="11" t="s">
        <v>2044</v>
      </c>
      <c r="B342" s="11" t="s">
        <v>2044</v>
      </c>
      <c r="C342" s="11" t="s">
        <v>54</v>
      </c>
      <c r="D342" s="11" t="s">
        <v>2045</v>
      </c>
      <c r="E342" s="11" t="s">
        <v>2046</v>
      </c>
      <c r="F342" s="11" t="s">
        <v>2047</v>
      </c>
      <c r="G342" s="11" t="s">
        <v>58</v>
      </c>
      <c r="H342" s="11" t="s">
        <v>2048</v>
      </c>
      <c r="I342" s="11" t="s">
        <v>2049</v>
      </c>
      <c r="J342" s="12" t="s">
        <v>8</v>
      </c>
      <c r="K342" s="12"/>
      <c r="L342" s="12"/>
      <c r="M342" s="12"/>
      <c r="N342" s="12"/>
      <c r="O342" s="12" t="s">
        <v>60</v>
      </c>
      <c r="P342" s="12"/>
      <c r="Q342" s="12"/>
      <c r="R342" s="12"/>
      <c r="S342" s="12"/>
      <c r="T342" s="13" t="str">
        <f t="shared" si="25"/>
        <v>通過</v>
      </c>
      <c r="U342" s="13" t="str">
        <f t="shared" si="26"/>
        <v>互相關心是婚姻幸福的關鍵</v>
      </c>
      <c r="V342" s="13" t="str">
        <f t="shared" si="27"/>
        <v>互相/關心/這兩個/夫妻/幸福/重要/這</v>
      </c>
      <c r="W342" s="13" t="str">
        <f t="shared" si="28"/>
        <v>是</v>
      </c>
      <c r="X342" s="13" t="str">
        <f t="shared" si="29"/>
        <v>通過</v>
      </c>
    </row>
    <row r="343" spans="1:24" ht="34" customHeight="1">
      <c r="A343" s="11" t="s">
        <v>2050</v>
      </c>
      <c r="B343" s="11" t="s">
        <v>2050</v>
      </c>
      <c r="C343" s="11" t="s">
        <v>54</v>
      </c>
      <c r="D343" s="11" t="s">
        <v>2051</v>
      </c>
      <c r="E343" s="11" t="s">
        <v>2052</v>
      </c>
      <c r="F343" s="11" t="s">
        <v>2053</v>
      </c>
      <c r="G343" s="11" t="s">
        <v>58</v>
      </c>
      <c r="H343" s="11" t="s">
        <v>2054</v>
      </c>
      <c r="I343" s="11" t="s">
        <v>2055</v>
      </c>
      <c r="J343" s="12" t="s">
        <v>8</v>
      </c>
      <c r="K343" s="12"/>
      <c r="L343" s="12"/>
      <c r="M343" s="12"/>
      <c r="N343" s="12"/>
      <c r="O343" s="12" t="s">
        <v>60</v>
      </c>
      <c r="P343" s="12"/>
      <c r="Q343" s="12"/>
      <c r="R343" s="12"/>
      <c r="S343" s="12"/>
      <c r="T343" s="13" t="str">
        <f t="shared" si="25"/>
        <v>通過</v>
      </c>
      <c r="U343" s="13" t="str">
        <f t="shared" si="26"/>
        <v>他的名字看起來很不錯</v>
      </c>
      <c r="V343" s="13" t="str">
        <f t="shared" si="27"/>
        <v>他/名字/看/棒</v>
      </c>
      <c r="W343" s="13" t="str">
        <f t="shared" si="28"/>
        <v>是</v>
      </c>
      <c r="X343" s="13" t="str">
        <f t="shared" si="29"/>
        <v>通過</v>
      </c>
    </row>
    <row r="344" spans="1:24" ht="34" customHeight="1">
      <c r="A344" s="11" t="s">
        <v>2056</v>
      </c>
      <c r="B344" s="11" t="s">
        <v>2056</v>
      </c>
      <c r="C344" s="11" t="s">
        <v>54</v>
      </c>
      <c r="D344" s="11" t="s">
        <v>2057</v>
      </c>
      <c r="E344" s="11" t="s">
        <v>2058</v>
      </c>
      <c r="F344" s="11" t="s">
        <v>2059</v>
      </c>
      <c r="G344" s="11" t="s">
        <v>58</v>
      </c>
      <c r="H344" s="11" t="s">
        <v>2060</v>
      </c>
      <c r="I344" s="11" t="s">
        <v>2061</v>
      </c>
      <c r="J344" s="12" t="s">
        <v>8</v>
      </c>
      <c r="K344" s="12"/>
      <c r="L344" s="12"/>
      <c r="M344" s="12"/>
      <c r="N344" s="12"/>
      <c r="O344" s="12" t="s">
        <v>60</v>
      </c>
      <c r="P344" s="12"/>
      <c r="Q344" s="12"/>
      <c r="R344" s="12"/>
      <c r="S344" s="12"/>
      <c r="T344" s="13" t="str">
        <f t="shared" si="25"/>
        <v>通過</v>
      </c>
      <c r="U344" s="13" t="str">
        <f t="shared" si="26"/>
        <v>隔壁鄰居是個老先生</v>
      </c>
      <c r="V344" s="13" t="str">
        <f t="shared" si="27"/>
        <v>鄰居/下一個/這/老/先生</v>
      </c>
      <c r="W344" s="13" t="str">
        <f t="shared" si="28"/>
        <v>是</v>
      </c>
      <c r="X344" s="13" t="str">
        <f t="shared" si="29"/>
        <v>通過</v>
      </c>
    </row>
    <row r="345" spans="1:24" ht="34" customHeight="1">
      <c r="A345" s="11" t="s">
        <v>2062</v>
      </c>
      <c r="B345" s="11" t="s">
        <v>2062</v>
      </c>
      <c r="C345" s="11" t="s">
        <v>54</v>
      </c>
      <c r="D345" s="11" t="s">
        <v>2063</v>
      </c>
      <c r="E345" s="11" t="s">
        <v>2064</v>
      </c>
      <c r="F345" s="11" t="s">
        <v>2065</v>
      </c>
      <c r="G345" s="11" t="s">
        <v>58</v>
      </c>
      <c r="H345" s="11" t="s">
        <v>2066</v>
      </c>
      <c r="I345" s="11" t="s">
        <v>2067</v>
      </c>
      <c r="J345" s="12" t="s">
        <v>8</v>
      </c>
      <c r="K345" s="12"/>
      <c r="L345" s="12"/>
      <c r="M345" s="12"/>
      <c r="N345" s="12"/>
      <c r="O345" s="12" t="s">
        <v>60</v>
      </c>
      <c r="P345" s="12"/>
      <c r="Q345" s="12"/>
      <c r="R345" s="12"/>
      <c r="S345" s="12"/>
      <c r="T345" s="13" t="str">
        <f t="shared" si="25"/>
        <v>通過</v>
      </c>
      <c r="U345" s="13" t="str">
        <f t="shared" si="26"/>
        <v>快輪到他表演了，他很緊張</v>
      </c>
      <c r="V345" s="13" t="str">
        <f t="shared" si="27"/>
        <v>快接近/下一個/他/表演/他/緊張/緊張B</v>
      </c>
      <c r="W345" s="13" t="str">
        <f t="shared" si="28"/>
        <v>是</v>
      </c>
      <c r="X345" s="13" t="str">
        <f t="shared" si="29"/>
        <v>通過</v>
      </c>
    </row>
    <row r="346" spans="1:24" ht="34" customHeight="1">
      <c r="A346" s="11" t="s">
        <v>2068</v>
      </c>
      <c r="B346" s="11" t="s">
        <v>2068</v>
      </c>
      <c r="C346" s="11" t="s">
        <v>54</v>
      </c>
      <c r="D346" s="11" t="s">
        <v>2069</v>
      </c>
      <c r="E346" s="11" t="s">
        <v>2070</v>
      </c>
      <c r="F346" s="11" t="s">
        <v>2071</v>
      </c>
      <c r="G346" s="11" t="s">
        <v>58</v>
      </c>
      <c r="H346" s="11" t="s">
        <v>2072</v>
      </c>
      <c r="I346" s="11" t="s">
        <v>2073</v>
      </c>
      <c r="J346" s="12" t="s">
        <v>8</v>
      </c>
      <c r="K346" s="12"/>
      <c r="L346" s="12"/>
      <c r="M346" s="12"/>
      <c r="N346" s="12"/>
      <c r="O346" s="12" t="s">
        <v>60</v>
      </c>
      <c r="P346" s="12"/>
      <c r="Q346" s="12"/>
      <c r="R346" s="12"/>
      <c r="S346" s="12"/>
      <c r="T346" s="13" t="str">
        <f t="shared" si="25"/>
        <v>通過</v>
      </c>
      <c r="U346" s="13" t="str">
        <f t="shared" si="26"/>
        <v>這個背包是新的</v>
      </c>
      <c r="V346" s="13" t="str">
        <f t="shared" si="27"/>
        <v>這/背包/新</v>
      </c>
      <c r="W346" s="13" t="str">
        <f t="shared" si="28"/>
        <v>是</v>
      </c>
      <c r="X346" s="13" t="str">
        <f t="shared" si="29"/>
        <v>通過</v>
      </c>
    </row>
    <row r="347" spans="1:24" ht="34" customHeight="1">
      <c r="A347" s="11" t="s">
        <v>2074</v>
      </c>
      <c r="B347" s="11" t="s">
        <v>2074</v>
      </c>
      <c r="C347" s="11" t="s">
        <v>54</v>
      </c>
      <c r="D347" s="11" t="s">
        <v>2075</v>
      </c>
      <c r="E347" s="11" t="s">
        <v>2076</v>
      </c>
      <c r="F347" s="11" t="s">
        <v>2077</v>
      </c>
      <c r="G347" s="11" t="s">
        <v>58</v>
      </c>
      <c r="H347" s="11" t="s">
        <v>2078</v>
      </c>
      <c r="I347" s="11" t="s">
        <v>2079</v>
      </c>
      <c r="J347" s="12" t="s">
        <v>8</v>
      </c>
      <c r="K347" s="12"/>
      <c r="L347" s="12"/>
      <c r="M347" s="12"/>
      <c r="N347" s="12"/>
      <c r="O347" s="12" t="s">
        <v>60</v>
      </c>
      <c r="P347" s="12"/>
      <c r="Q347" s="12"/>
      <c r="R347" s="12"/>
      <c r="S347" s="12"/>
      <c r="T347" s="13" t="str">
        <f t="shared" si="25"/>
        <v>通過</v>
      </c>
      <c r="U347" s="13" t="str">
        <f t="shared" si="26"/>
        <v>我要看報紙</v>
      </c>
      <c r="V347" s="13" t="str">
        <f t="shared" si="27"/>
        <v>報紙/我/看/要</v>
      </c>
      <c r="W347" s="13" t="str">
        <f t="shared" si="28"/>
        <v>是</v>
      </c>
      <c r="X347" s="13" t="str">
        <f t="shared" si="29"/>
        <v>通過</v>
      </c>
    </row>
    <row r="348" spans="1:24" ht="34" customHeight="1">
      <c r="A348" s="11" t="s">
        <v>2080</v>
      </c>
      <c r="B348" s="11" t="s">
        <v>2080</v>
      </c>
      <c r="C348" s="11" t="s">
        <v>54</v>
      </c>
      <c r="D348" s="11" t="s">
        <v>2081</v>
      </c>
      <c r="E348" s="11" t="s">
        <v>2082</v>
      </c>
      <c r="F348" s="11" t="s">
        <v>2083</v>
      </c>
      <c r="G348" s="11" t="s">
        <v>58</v>
      </c>
      <c r="H348" s="11" t="s">
        <v>2084</v>
      </c>
      <c r="I348" s="11" t="s">
        <v>2085</v>
      </c>
      <c r="J348" s="12" t="s">
        <v>8</v>
      </c>
      <c r="K348" s="12"/>
      <c r="L348" s="12"/>
      <c r="M348" s="12"/>
      <c r="N348" s="12"/>
      <c r="O348" s="12" t="s">
        <v>60</v>
      </c>
      <c r="P348" s="12"/>
      <c r="Q348" s="12"/>
      <c r="R348" s="12"/>
      <c r="S348" s="12"/>
      <c r="T348" s="13" t="str">
        <f t="shared" si="25"/>
        <v>通過</v>
      </c>
      <c r="U348" s="13" t="str">
        <f t="shared" si="26"/>
        <v>下一站要下車</v>
      </c>
      <c r="V348" s="13" t="str">
        <f t="shared" si="27"/>
        <v>搭車/那/下一個/那/下車</v>
      </c>
      <c r="W348" s="13" t="str">
        <f t="shared" si="28"/>
        <v>是</v>
      </c>
      <c r="X348" s="13" t="str">
        <f t="shared" si="29"/>
        <v>通過</v>
      </c>
    </row>
    <row r="349" spans="1:24" ht="34" customHeight="1">
      <c r="A349" s="11" t="s">
        <v>2086</v>
      </c>
      <c r="B349" s="11" t="s">
        <v>2086</v>
      </c>
      <c r="C349" s="11" t="s">
        <v>54</v>
      </c>
      <c r="D349" s="11" t="s">
        <v>2087</v>
      </c>
      <c r="E349" s="11" t="s">
        <v>2088</v>
      </c>
      <c r="F349" s="11" t="s">
        <v>2089</v>
      </c>
      <c r="G349" s="11" t="s">
        <v>58</v>
      </c>
      <c r="H349" s="11" t="s">
        <v>2090</v>
      </c>
      <c r="I349" s="11" t="s">
        <v>2091</v>
      </c>
      <c r="J349" s="12" t="s">
        <v>8</v>
      </c>
      <c r="K349" s="12"/>
      <c r="L349" s="12"/>
      <c r="M349" s="12"/>
      <c r="N349" s="12"/>
      <c r="O349" s="12" t="s">
        <v>60</v>
      </c>
      <c r="P349" s="12"/>
      <c r="Q349" s="12"/>
      <c r="R349" s="12"/>
      <c r="S349" s="12"/>
      <c r="T349" s="13" t="str">
        <f t="shared" si="25"/>
        <v>通過</v>
      </c>
      <c r="U349" s="13" t="str">
        <f t="shared" si="26"/>
        <v>明年我要去美國</v>
      </c>
      <c r="V349" s="13" t="str">
        <f t="shared" si="27"/>
        <v>明年/美國/我/去</v>
      </c>
      <c r="W349" s="13" t="str">
        <f t="shared" si="28"/>
        <v>是</v>
      </c>
      <c r="X349" s="13" t="str">
        <f t="shared" si="29"/>
        <v>通過</v>
      </c>
    </row>
    <row r="350" spans="1:24" ht="34" customHeight="1">
      <c r="A350" s="11" t="s">
        <v>2092</v>
      </c>
      <c r="B350" s="11" t="s">
        <v>2092</v>
      </c>
      <c r="C350" s="11" t="s">
        <v>54</v>
      </c>
      <c r="D350" s="11" t="s">
        <v>2093</v>
      </c>
      <c r="E350" s="11" t="s">
        <v>2094</v>
      </c>
      <c r="F350" s="11" t="s">
        <v>2095</v>
      </c>
      <c r="G350" s="11" t="s">
        <v>58</v>
      </c>
      <c r="H350" s="11" t="s">
        <v>2096</v>
      </c>
      <c r="I350" s="11" t="s">
        <v>2097</v>
      </c>
      <c r="J350" s="12" t="s">
        <v>8</v>
      </c>
      <c r="K350" s="12"/>
      <c r="L350" s="12"/>
      <c r="M350" s="12"/>
      <c r="N350" s="12"/>
      <c r="O350" s="12" t="s">
        <v>60</v>
      </c>
      <c r="P350" s="12"/>
      <c r="Q350" s="12"/>
      <c r="R350" s="12"/>
      <c r="S350" s="12"/>
      <c r="T350" s="13" t="str">
        <f t="shared" si="25"/>
        <v>通過</v>
      </c>
      <c r="U350" s="13" t="str">
        <f t="shared" si="26"/>
        <v>你要吃麵還是吃飯？</v>
      </c>
      <c r="V350" s="13" t="str">
        <f t="shared" si="27"/>
        <v>麵/米/這兩個/吃/什麼</v>
      </c>
      <c r="W350" s="13" t="str">
        <f t="shared" si="28"/>
        <v>是</v>
      </c>
      <c r="X350" s="13" t="str">
        <f t="shared" si="29"/>
        <v>通過</v>
      </c>
    </row>
    <row r="351" spans="1:24" ht="34" customHeight="1">
      <c r="A351" s="11" t="s">
        <v>2098</v>
      </c>
      <c r="B351" s="11" t="s">
        <v>2098</v>
      </c>
      <c r="C351" s="11" t="s">
        <v>54</v>
      </c>
      <c r="D351" s="11" t="s">
        <v>2099</v>
      </c>
      <c r="E351" s="11" t="s">
        <v>2100</v>
      </c>
      <c r="F351" s="11" t="s">
        <v>2101</v>
      </c>
      <c r="G351" s="11" t="s">
        <v>58</v>
      </c>
      <c r="H351" s="11" t="s">
        <v>2102</v>
      </c>
      <c r="I351" s="11" t="s">
        <v>2103</v>
      </c>
      <c r="J351" s="12" t="s">
        <v>8</v>
      </c>
      <c r="K351" s="12"/>
      <c r="L351" s="12"/>
      <c r="M351" s="12"/>
      <c r="N351" s="12"/>
      <c r="O351" s="12" t="s">
        <v>60</v>
      </c>
      <c r="P351" s="12"/>
      <c r="Q351" s="12"/>
      <c r="R351" s="12"/>
      <c r="S351" s="12"/>
      <c r="T351" s="13" t="str">
        <f t="shared" si="25"/>
        <v>通過</v>
      </c>
      <c r="U351" s="13" t="str">
        <f t="shared" si="26"/>
        <v>這雞肉飯勉強還可以</v>
      </c>
      <c r="V351" s="13" t="str">
        <f t="shared" si="27"/>
        <v>這/雞/吃飯/吃/還不錯</v>
      </c>
      <c r="W351" s="13" t="str">
        <f t="shared" si="28"/>
        <v>是</v>
      </c>
      <c r="X351" s="13" t="str">
        <f t="shared" si="29"/>
        <v>通過</v>
      </c>
    </row>
    <row r="352" spans="1:24" ht="34" customHeight="1">
      <c r="A352" s="11" t="s">
        <v>2104</v>
      </c>
      <c r="B352" s="11" t="s">
        <v>2104</v>
      </c>
      <c r="C352" s="11" t="s">
        <v>54</v>
      </c>
      <c r="D352" s="11" t="s">
        <v>2105</v>
      </c>
      <c r="E352" s="11" t="s">
        <v>2106</v>
      </c>
      <c r="F352" s="11" t="s">
        <v>2107</v>
      </c>
      <c r="G352" s="11" t="s">
        <v>58</v>
      </c>
      <c r="H352" s="11" t="s">
        <v>2108</v>
      </c>
      <c r="I352" s="11" t="s">
        <v>2109</v>
      </c>
      <c r="J352" s="12" t="s">
        <v>8</v>
      </c>
      <c r="K352" s="12"/>
      <c r="L352" s="12"/>
      <c r="M352" s="12"/>
      <c r="N352" s="12"/>
      <c r="O352" s="12" t="s">
        <v>60</v>
      </c>
      <c r="P352" s="12"/>
      <c r="Q352" s="12"/>
      <c r="R352" s="12"/>
      <c r="S352" s="12"/>
      <c r="T352" s="13" t="str">
        <f t="shared" si="25"/>
        <v>通過</v>
      </c>
      <c r="U352" s="13" t="str">
        <f t="shared" si="26"/>
        <v>每個地方都有好人和壞人</v>
      </c>
      <c r="V352" s="13" t="str">
        <f t="shared" si="27"/>
        <v>各處/人/好/人/不好/有</v>
      </c>
      <c r="W352" s="13" t="str">
        <f t="shared" si="28"/>
        <v>是</v>
      </c>
      <c r="X352" s="13" t="str">
        <f t="shared" si="29"/>
        <v>通過</v>
      </c>
    </row>
    <row r="353" spans="1:24" ht="34" customHeight="1">
      <c r="A353" s="11" t="s">
        <v>2110</v>
      </c>
      <c r="B353" s="11" t="s">
        <v>2110</v>
      </c>
      <c r="C353" s="11" t="s">
        <v>54</v>
      </c>
      <c r="D353" s="11" t="s">
        <v>2111</v>
      </c>
      <c r="E353" s="11" t="s">
        <v>2112</v>
      </c>
      <c r="F353" s="11" t="s">
        <v>2113</v>
      </c>
      <c r="G353" s="11" t="s">
        <v>58</v>
      </c>
      <c r="H353" s="11" t="s">
        <v>2114</v>
      </c>
      <c r="I353" s="11" t="s">
        <v>2115</v>
      </c>
      <c r="J353" s="12" t="s">
        <v>8</v>
      </c>
      <c r="K353" s="12"/>
      <c r="L353" s="12"/>
      <c r="M353" s="12"/>
      <c r="N353" s="12"/>
      <c r="O353" s="12" t="s">
        <v>60</v>
      </c>
      <c r="P353" s="12"/>
      <c r="Q353" s="12"/>
      <c r="R353" s="12"/>
      <c r="S353" s="12"/>
      <c r="T353" s="13" t="str">
        <f t="shared" si="25"/>
        <v>通過</v>
      </c>
      <c r="U353" s="13" t="str">
        <f t="shared" si="26"/>
        <v>今天是星期幾呢?</v>
      </c>
      <c r="V353" s="13" t="str">
        <f t="shared" si="27"/>
        <v>今天/星期幾</v>
      </c>
      <c r="W353" s="13" t="str">
        <f t="shared" si="28"/>
        <v>是</v>
      </c>
      <c r="X353" s="13" t="str">
        <f t="shared" si="29"/>
        <v>通過</v>
      </c>
    </row>
    <row r="354" spans="1:24" ht="34" customHeight="1">
      <c r="A354" s="11" t="s">
        <v>2116</v>
      </c>
      <c r="B354" s="11" t="s">
        <v>2116</v>
      </c>
      <c r="C354" s="11" t="s">
        <v>54</v>
      </c>
      <c r="D354" s="11" t="s">
        <v>2111</v>
      </c>
      <c r="E354" s="11" t="s">
        <v>2117</v>
      </c>
      <c r="F354" s="11" t="s">
        <v>2118</v>
      </c>
      <c r="G354" s="11" t="s">
        <v>58</v>
      </c>
      <c r="H354" s="11" t="s">
        <v>2119</v>
      </c>
      <c r="I354" s="11" t="s">
        <v>2120</v>
      </c>
      <c r="J354" s="12" t="s">
        <v>8</v>
      </c>
      <c r="K354" s="12"/>
      <c r="L354" s="12"/>
      <c r="M354" s="12"/>
      <c r="N354" s="12"/>
      <c r="O354" s="12" t="s">
        <v>60</v>
      </c>
      <c r="P354" s="12"/>
      <c r="Q354" s="12"/>
      <c r="R354" s="12"/>
      <c r="S354" s="12"/>
      <c r="T354" s="13" t="str">
        <f t="shared" si="25"/>
        <v>通過</v>
      </c>
      <c r="U354" s="13" t="str">
        <f t="shared" si="26"/>
        <v>現在是幾點呢?</v>
      </c>
      <c r="V354" s="13" t="str">
        <f t="shared" si="27"/>
        <v>現在/幾時</v>
      </c>
      <c r="W354" s="13" t="str">
        <f t="shared" si="28"/>
        <v>是</v>
      </c>
      <c r="X354" s="13" t="str">
        <f t="shared" si="29"/>
        <v>通過</v>
      </c>
    </row>
    <row r="355" spans="1:24" ht="34" customHeight="1">
      <c r="A355" s="11" t="s">
        <v>2121</v>
      </c>
      <c r="B355" s="11" t="s">
        <v>2121</v>
      </c>
      <c r="C355" s="11" t="s">
        <v>54</v>
      </c>
      <c r="D355" s="11" t="s">
        <v>2122</v>
      </c>
      <c r="E355" s="11" t="s">
        <v>2123</v>
      </c>
      <c r="F355" s="11" t="s">
        <v>2124</v>
      </c>
      <c r="G355" s="11" t="s">
        <v>58</v>
      </c>
      <c r="H355" s="11" t="s">
        <v>2125</v>
      </c>
      <c r="I355" s="11" t="s">
        <v>2126</v>
      </c>
      <c r="J355" s="12" t="s">
        <v>8</v>
      </c>
      <c r="K355" s="12"/>
      <c r="L355" s="12"/>
      <c r="M355" s="12"/>
      <c r="N355" s="12"/>
      <c r="O355" s="12" t="s">
        <v>60</v>
      </c>
      <c r="P355" s="12"/>
      <c r="Q355" s="12"/>
      <c r="R355" s="12"/>
      <c r="S355" s="12"/>
      <c r="T355" s="13" t="str">
        <f t="shared" si="25"/>
        <v>通過</v>
      </c>
      <c r="U355" s="13" t="str">
        <f t="shared" si="26"/>
        <v>今年端午節媽媽要包粽子</v>
      </c>
      <c r="V355" s="13" t="str">
        <f t="shared" si="27"/>
        <v>現在/年/粽子/節/媽媽/包粽子</v>
      </c>
      <c r="W355" s="13" t="str">
        <f t="shared" si="28"/>
        <v>是</v>
      </c>
      <c r="X355" s="13" t="str">
        <f t="shared" si="29"/>
        <v>通過</v>
      </c>
    </row>
    <row r="356" spans="1:24" ht="34" customHeight="1">
      <c r="A356" s="11" t="s">
        <v>2127</v>
      </c>
      <c r="B356" s="11" t="s">
        <v>2127</v>
      </c>
      <c r="C356" s="11" t="s">
        <v>54</v>
      </c>
      <c r="D356" s="11" t="s">
        <v>2128</v>
      </c>
      <c r="E356" s="11" t="s">
        <v>2129</v>
      </c>
      <c r="F356" s="11" t="s">
        <v>2130</v>
      </c>
      <c r="G356" s="11" t="s">
        <v>58</v>
      </c>
      <c r="H356" s="11" t="s">
        <v>2131</v>
      </c>
      <c r="I356" s="11" t="s">
        <v>2132</v>
      </c>
      <c r="J356" s="12" t="s">
        <v>8</v>
      </c>
      <c r="K356" s="12"/>
      <c r="L356" s="12"/>
      <c r="M356" s="12"/>
      <c r="N356" s="12"/>
      <c r="O356" s="12" t="s">
        <v>60</v>
      </c>
      <c r="P356" s="12"/>
      <c r="Q356" s="12"/>
      <c r="R356" s="12"/>
      <c r="S356" s="12"/>
      <c r="T356" s="13" t="str">
        <f t="shared" si="25"/>
        <v>通過</v>
      </c>
      <c r="U356" s="13" t="str">
        <f t="shared" si="26"/>
        <v>你的車牌號碼是多少</v>
      </c>
      <c r="V356" s="13" t="str">
        <f t="shared" si="27"/>
        <v>你/開車/牌/號碼/嗎</v>
      </c>
      <c r="W356" s="13" t="str">
        <f t="shared" si="28"/>
        <v>是</v>
      </c>
      <c r="X356" s="13" t="str">
        <f t="shared" si="29"/>
        <v>通過</v>
      </c>
    </row>
    <row r="357" spans="1:24" ht="34" customHeight="1">
      <c r="A357" s="11" t="s">
        <v>2133</v>
      </c>
      <c r="B357" s="11" t="s">
        <v>2133</v>
      </c>
      <c r="C357" s="11" t="s">
        <v>54</v>
      </c>
      <c r="D357" s="11" t="s">
        <v>2134</v>
      </c>
      <c r="E357" s="11" t="s">
        <v>2135</v>
      </c>
      <c r="F357" s="11" t="s">
        <v>2136</v>
      </c>
      <c r="G357" s="11" t="s">
        <v>58</v>
      </c>
      <c r="H357" s="11" t="s">
        <v>2137</v>
      </c>
      <c r="I357" s="11" t="s">
        <v>2138</v>
      </c>
      <c r="J357" s="12" t="s">
        <v>8</v>
      </c>
      <c r="K357" s="12"/>
      <c r="L357" s="12"/>
      <c r="M357" s="12"/>
      <c r="N357" s="12"/>
      <c r="O357" s="12" t="s">
        <v>60</v>
      </c>
      <c r="P357" s="12"/>
      <c r="Q357" s="12"/>
      <c r="R357" s="12"/>
      <c r="S357" s="12"/>
      <c r="T357" s="13" t="str">
        <f t="shared" si="25"/>
        <v>通過</v>
      </c>
      <c r="U357" s="13" t="str">
        <f t="shared" si="26"/>
        <v>台灣護士的專業能力很強</v>
      </c>
      <c r="V357" s="13" t="str">
        <f t="shared" si="27"/>
        <v>台灣/護士/專/業/技術/棒</v>
      </c>
      <c r="W357" s="13" t="str">
        <f t="shared" si="28"/>
        <v>是</v>
      </c>
      <c r="X357" s="13" t="str">
        <f t="shared" si="29"/>
        <v>通過</v>
      </c>
    </row>
    <row r="358" spans="1:24" ht="34" customHeight="1">
      <c r="A358" s="11" t="s">
        <v>2139</v>
      </c>
      <c r="B358" s="11" t="s">
        <v>2139</v>
      </c>
      <c r="C358" s="11" t="s">
        <v>54</v>
      </c>
      <c r="D358" s="11" t="s">
        <v>2140</v>
      </c>
      <c r="E358" s="11" t="s">
        <v>2141</v>
      </c>
      <c r="F358" s="11" t="s">
        <v>2142</v>
      </c>
      <c r="G358" s="11" t="s">
        <v>58</v>
      </c>
      <c r="H358" s="11" t="s">
        <v>2143</v>
      </c>
      <c r="I358" s="11" t="s">
        <v>2144</v>
      </c>
      <c r="J358" s="12" t="s">
        <v>8</v>
      </c>
      <c r="K358" s="12"/>
      <c r="L358" s="12"/>
      <c r="M358" s="12"/>
      <c r="N358" s="12"/>
      <c r="O358" s="12" t="s">
        <v>60</v>
      </c>
      <c r="P358" s="12"/>
      <c r="Q358" s="12"/>
      <c r="R358" s="12"/>
      <c r="S358" s="12"/>
      <c r="T358" s="13" t="str">
        <f t="shared" si="25"/>
        <v>通過</v>
      </c>
      <c r="U358" s="13" t="str">
        <f t="shared" si="26"/>
        <v>肥胖對身體不好</v>
      </c>
      <c r="V358" s="13" t="str">
        <f t="shared" si="27"/>
        <v>胖/對/身體/健康/不好</v>
      </c>
      <c r="W358" s="13" t="str">
        <f t="shared" si="28"/>
        <v>是</v>
      </c>
      <c r="X358" s="13" t="str">
        <f t="shared" si="29"/>
        <v>通過</v>
      </c>
    </row>
    <row r="359" spans="1:24" ht="34" customHeight="1">
      <c r="A359" s="11" t="s">
        <v>2145</v>
      </c>
      <c r="B359" s="11" t="s">
        <v>2145</v>
      </c>
      <c r="C359" s="11" t="s">
        <v>54</v>
      </c>
      <c r="D359" s="11" t="s">
        <v>2146</v>
      </c>
      <c r="E359" s="11" t="s">
        <v>2147</v>
      </c>
      <c r="F359" s="11" t="s">
        <v>2148</v>
      </c>
      <c r="G359" s="11" t="s">
        <v>58</v>
      </c>
      <c r="H359" s="11" t="s">
        <v>2149</v>
      </c>
      <c r="I359" s="11" t="s">
        <v>2150</v>
      </c>
      <c r="J359" s="12" t="s">
        <v>8</v>
      </c>
      <c r="K359" s="12"/>
      <c r="L359" s="12"/>
      <c r="M359" s="12"/>
      <c r="N359" s="12"/>
      <c r="O359" s="12" t="s">
        <v>60</v>
      </c>
      <c r="P359" s="12"/>
      <c r="Q359" s="12"/>
      <c r="R359" s="12"/>
      <c r="S359" s="12"/>
      <c r="T359" s="13" t="str">
        <f t="shared" si="25"/>
        <v>通過</v>
      </c>
      <c r="U359" s="13" t="str">
        <f t="shared" si="26"/>
        <v>你變瘦了</v>
      </c>
      <c r="V359" s="13" t="str">
        <f t="shared" si="27"/>
        <v>你/胖/變/瘦</v>
      </c>
      <c r="W359" s="13" t="str">
        <f t="shared" si="28"/>
        <v>是</v>
      </c>
      <c r="X359" s="13" t="str">
        <f t="shared" si="29"/>
        <v>通過</v>
      </c>
    </row>
    <row r="360" spans="1:24" ht="34" customHeight="1">
      <c r="A360" s="11" t="s">
        <v>2151</v>
      </c>
      <c r="B360" s="11" t="s">
        <v>2151</v>
      </c>
      <c r="C360" s="11" t="s">
        <v>54</v>
      </c>
      <c r="D360" s="11" t="s">
        <v>2152</v>
      </c>
      <c r="E360" s="11" t="s">
        <v>2153</v>
      </c>
      <c r="F360" s="11" t="s">
        <v>2154</v>
      </c>
      <c r="G360" s="11" t="s">
        <v>58</v>
      </c>
      <c r="H360" s="11" t="s">
        <v>2155</v>
      </c>
      <c r="I360" s="11" t="s">
        <v>2156</v>
      </c>
      <c r="J360" s="12" t="s">
        <v>8</v>
      </c>
      <c r="K360" s="12"/>
      <c r="L360" s="12"/>
      <c r="M360" s="12"/>
      <c r="N360" s="12"/>
      <c r="O360" s="12" t="s">
        <v>60</v>
      </c>
      <c r="P360" s="12"/>
      <c r="Q360" s="12"/>
      <c r="R360" s="12"/>
      <c r="S360" s="12"/>
      <c r="T360" s="13" t="str">
        <f t="shared" si="25"/>
        <v>通過</v>
      </c>
      <c r="U360" s="13" t="str">
        <f t="shared" si="26"/>
        <v>辦公室請保持乾淨</v>
      </c>
      <c r="V360" s="13" t="str">
        <f t="shared" si="27"/>
        <v>辦公室/乾淨/依然</v>
      </c>
      <c r="W360" s="13" t="str">
        <f t="shared" si="28"/>
        <v>是</v>
      </c>
      <c r="X360" s="13" t="str">
        <f t="shared" si="29"/>
        <v>通過</v>
      </c>
    </row>
    <row r="361" spans="1:24" ht="34" customHeight="1">
      <c r="A361" s="11" t="s">
        <v>2157</v>
      </c>
      <c r="B361" s="11" t="s">
        <v>2157</v>
      </c>
      <c r="C361" s="11" t="s">
        <v>54</v>
      </c>
      <c r="D361" s="11" t="s">
        <v>2158</v>
      </c>
      <c r="E361" s="11" t="s">
        <v>166</v>
      </c>
      <c r="F361" s="11" t="s">
        <v>2159</v>
      </c>
      <c r="G361" s="11" t="s">
        <v>58</v>
      </c>
      <c r="H361" s="11" t="s">
        <v>2160</v>
      </c>
      <c r="I361" s="11" t="s">
        <v>2161</v>
      </c>
      <c r="J361" s="12" t="s">
        <v>8</v>
      </c>
      <c r="K361" s="12"/>
      <c r="L361" s="12"/>
      <c r="M361" s="12"/>
      <c r="N361" s="12"/>
      <c r="O361" s="12" t="s">
        <v>60</v>
      </c>
      <c r="P361" s="12"/>
      <c r="Q361" s="12"/>
      <c r="R361" s="12"/>
      <c r="S361" s="12"/>
      <c r="T361" s="13" t="str">
        <f t="shared" si="25"/>
        <v>通過</v>
      </c>
      <c r="U361" s="13" t="str">
        <f t="shared" si="26"/>
        <v>他經常睡不著</v>
      </c>
      <c r="V361" s="13" t="str">
        <f t="shared" si="27"/>
        <v>他/睡/做不成/經常</v>
      </c>
      <c r="W361" s="13" t="str">
        <f t="shared" si="28"/>
        <v>是</v>
      </c>
      <c r="X361" s="13" t="str">
        <f t="shared" si="29"/>
        <v>通過</v>
      </c>
    </row>
    <row r="362" spans="1:24" ht="34" customHeight="1">
      <c r="A362" s="11" t="s">
        <v>2162</v>
      </c>
      <c r="B362" s="11" t="s">
        <v>2162</v>
      </c>
      <c r="C362" s="11" t="s">
        <v>54</v>
      </c>
      <c r="D362" s="11" t="s">
        <v>2158</v>
      </c>
      <c r="E362" s="11" t="s">
        <v>2163</v>
      </c>
      <c r="F362" s="11" t="s">
        <v>2164</v>
      </c>
      <c r="G362" s="11" t="s">
        <v>58</v>
      </c>
      <c r="H362" s="11" t="s">
        <v>2165</v>
      </c>
      <c r="I362" s="11" t="s">
        <v>2166</v>
      </c>
      <c r="J362" s="12" t="s">
        <v>8</v>
      </c>
      <c r="K362" s="12"/>
      <c r="L362" s="12"/>
      <c r="M362" s="12"/>
      <c r="N362" s="12"/>
      <c r="O362" s="12" t="s">
        <v>60</v>
      </c>
      <c r="P362" s="12"/>
      <c r="Q362" s="12"/>
      <c r="R362" s="12"/>
      <c r="S362" s="12"/>
      <c r="T362" s="13" t="str">
        <f t="shared" si="25"/>
        <v>通過</v>
      </c>
      <c r="U362" s="13" t="str">
        <f t="shared" si="26"/>
        <v>我常常去跑步</v>
      </c>
      <c r="V362" s="13" t="str">
        <f t="shared" si="27"/>
        <v>跑/我/常常</v>
      </c>
      <c r="W362" s="13" t="str">
        <f t="shared" si="28"/>
        <v>是</v>
      </c>
      <c r="X362" s="13" t="str">
        <f t="shared" si="29"/>
        <v>通過</v>
      </c>
    </row>
    <row r="363" spans="1:24" ht="34" customHeight="1">
      <c r="A363" s="11" t="s">
        <v>2167</v>
      </c>
      <c r="B363" s="11" t="s">
        <v>2167</v>
      </c>
      <c r="C363" s="11" t="s">
        <v>54</v>
      </c>
      <c r="D363" s="11" t="s">
        <v>2168</v>
      </c>
      <c r="E363" s="11" t="s">
        <v>2169</v>
      </c>
      <c r="F363" s="11" t="s">
        <v>2170</v>
      </c>
      <c r="G363" s="11" t="s">
        <v>58</v>
      </c>
      <c r="H363" s="11" t="s">
        <v>2171</v>
      </c>
      <c r="I363" s="11" t="s">
        <v>2172</v>
      </c>
      <c r="J363" s="12" t="s">
        <v>8</v>
      </c>
      <c r="K363" s="12"/>
      <c r="L363" s="12"/>
      <c r="M363" s="12"/>
      <c r="N363" s="12"/>
      <c r="O363" s="12" t="s">
        <v>60</v>
      </c>
      <c r="P363" s="12"/>
      <c r="Q363" s="12"/>
      <c r="R363" s="12"/>
      <c r="S363" s="12"/>
      <c r="T363" s="13" t="str">
        <f t="shared" si="25"/>
        <v>通過</v>
      </c>
      <c r="U363" s="13" t="str">
        <f t="shared" si="26"/>
        <v>炒菜時要用油</v>
      </c>
      <c r="V363" s="13" t="str">
        <f t="shared" si="27"/>
        <v>菜/炒/油/倒/要</v>
      </c>
      <c r="W363" s="13" t="str">
        <f t="shared" si="28"/>
        <v>是</v>
      </c>
      <c r="X363" s="13" t="str">
        <f t="shared" si="29"/>
        <v>通過</v>
      </c>
    </row>
    <row r="364" spans="1:24" ht="34" customHeight="1">
      <c r="A364" s="11" t="s">
        <v>2173</v>
      </c>
      <c r="B364" s="11" t="s">
        <v>2173</v>
      </c>
      <c r="C364" s="11" t="s">
        <v>54</v>
      </c>
      <c r="D364" s="11" t="s">
        <v>2174</v>
      </c>
      <c r="E364" s="11" t="s">
        <v>2175</v>
      </c>
      <c r="F364" s="11" t="s">
        <v>2176</v>
      </c>
      <c r="G364" s="11" t="s">
        <v>58</v>
      </c>
      <c r="H364" s="11" t="s">
        <v>2177</v>
      </c>
      <c r="I364" s="11" t="s">
        <v>2178</v>
      </c>
      <c r="J364" s="12" t="s">
        <v>8</v>
      </c>
      <c r="K364" s="12"/>
      <c r="L364" s="12"/>
      <c r="M364" s="12"/>
      <c r="N364" s="12"/>
      <c r="O364" s="12" t="s">
        <v>60</v>
      </c>
      <c r="P364" s="12"/>
      <c r="Q364" s="12"/>
      <c r="R364" s="12"/>
      <c r="S364" s="12"/>
      <c r="T364" s="13" t="str">
        <f t="shared" si="25"/>
        <v>通過</v>
      </c>
      <c r="U364" s="13" t="str">
        <f t="shared" si="26"/>
        <v>他丟了許多舊報紙</v>
      </c>
      <c r="V364" s="13" t="str">
        <f t="shared" si="27"/>
        <v>他/舊/報紙/攤開/亂丟</v>
      </c>
      <c r="W364" s="13" t="str">
        <f t="shared" si="28"/>
        <v>是</v>
      </c>
      <c r="X364" s="13" t="str">
        <f t="shared" si="29"/>
        <v>通過</v>
      </c>
    </row>
    <row r="365" spans="1:24" ht="34" customHeight="1">
      <c r="A365" s="11" t="s">
        <v>2179</v>
      </c>
      <c r="B365" s="11" t="s">
        <v>2179</v>
      </c>
      <c r="C365" s="11" t="s">
        <v>54</v>
      </c>
      <c r="D365" s="11" t="s">
        <v>2180</v>
      </c>
      <c r="E365" s="11" t="s">
        <v>2181</v>
      </c>
      <c r="F365" s="11" t="s">
        <v>2182</v>
      </c>
      <c r="G365" s="11" t="s">
        <v>58</v>
      </c>
      <c r="H365" s="11" t="s">
        <v>2183</v>
      </c>
      <c r="I365" s="11" t="s">
        <v>2184</v>
      </c>
      <c r="J365" s="12" t="s">
        <v>8</v>
      </c>
      <c r="K365" s="12"/>
      <c r="L365" s="12"/>
      <c r="M365" s="12"/>
      <c r="N365" s="12"/>
      <c r="O365" s="12" t="s">
        <v>60</v>
      </c>
      <c r="P365" s="12"/>
      <c r="Q365" s="12"/>
      <c r="R365" s="12"/>
      <c r="S365" s="12"/>
      <c r="T365" s="13" t="str">
        <f t="shared" si="25"/>
        <v>通過</v>
      </c>
      <c r="U365" s="13" t="str">
        <f t="shared" si="26"/>
        <v>那隻狗很老了</v>
      </c>
      <c r="V365" s="13" t="str">
        <f t="shared" si="27"/>
        <v>那/狗/老/爬</v>
      </c>
      <c r="W365" s="13" t="str">
        <f t="shared" si="28"/>
        <v>是</v>
      </c>
      <c r="X365" s="13" t="str">
        <f t="shared" si="29"/>
        <v>通過</v>
      </c>
    </row>
    <row r="366" spans="1:24" ht="34" customHeight="1">
      <c r="A366" s="11" t="s">
        <v>2185</v>
      </c>
      <c r="B366" s="11" t="s">
        <v>2185</v>
      </c>
      <c r="C366" s="11" t="s">
        <v>54</v>
      </c>
      <c r="D366" s="11" t="s">
        <v>2186</v>
      </c>
      <c r="E366" s="11" t="s">
        <v>2187</v>
      </c>
      <c r="F366" s="11" t="s">
        <v>2188</v>
      </c>
      <c r="G366" s="11" t="s">
        <v>58</v>
      </c>
      <c r="H366" s="11" t="s">
        <v>2189</v>
      </c>
      <c r="I366" s="11" t="s">
        <v>2190</v>
      </c>
      <c r="J366" s="12" t="s">
        <v>8</v>
      </c>
      <c r="K366" s="12"/>
      <c r="L366" s="12"/>
      <c r="M366" s="12"/>
      <c r="N366" s="12"/>
      <c r="O366" s="12" t="s">
        <v>60</v>
      </c>
      <c r="P366" s="12"/>
      <c r="Q366" s="12"/>
      <c r="R366" s="12"/>
      <c r="S366" s="12"/>
      <c r="T366" s="13" t="str">
        <f t="shared" si="25"/>
        <v>通過</v>
      </c>
      <c r="U366" s="13" t="str">
        <f t="shared" si="26"/>
        <v>姊姊沒有男朋友</v>
      </c>
      <c r="V366" s="13" t="str">
        <f t="shared" si="27"/>
        <v>姊姊/男/朋友/沒有</v>
      </c>
      <c r="W366" s="13" t="str">
        <f t="shared" si="28"/>
        <v>是</v>
      </c>
      <c r="X366" s="13" t="str">
        <f t="shared" si="29"/>
        <v>通過</v>
      </c>
    </row>
    <row r="367" spans="1:24" ht="34" customHeight="1">
      <c r="A367" s="11" t="s">
        <v>2191</v>
      </c>
      <c r="B367" s="11" t="s">
        <v>2191</v>
      </c>
      <c r="C367" s="11" t="s">
        <v>54</v>
      </c>
      <c r="D367" s="11" t="s">
        <v>2192</v>
      </c>
      <c r="E367" s="11" t="s">
        <v>2193</v>
      </c>
      <c r="F367" s="11" t="s">
        <v>2194</v>
      </c>
      <c r="G367" s="11" t="s">
        <v>58</v>
      </c>
      <c r="H367" s="11" t="s">
        <v>2195</v>
      </c>
      <c r="I367" s="11" t="s">
        <v>2196</v>
      </c>
      <c r="J367" s="12" t="s">
        <v>8</v>
      </c>
      <c r="K367" s="12"/>
      <c r="L367" s="12"/>
      <c r="M367" s="12"/>
      <c r="N367" s="12"/>
      <c r="O367" s="12" t="s">
        <v>60</v>
      </c>
      <c r="P367" s="12"/>
      <c r="Q367" s="12"/>
      <c r="R367" s="12"/>
      <c r="S367" s="12"/>
      <c r="T367" s="13" t="str">
        <f t="shared" si="25"/>
        <v>通過</v>
      </c>
      <c r="U367" s="13" t="str">
        <f t="shared" si="26"/>
        <v>我有一件裙子</v>
      </c>
      <c r="V367" s="13" t="str">
        <f t="shared" si="27"/>
        <v>我/裙子/有/一</v>
      </c>
      <c r="W367" s="13" t="str">
        <f t="shared" si="28"/>
        <v>是</v>
      </c>
      <c r="X367" s="13" t="str">
        <f t="shared" si="29"/>
        <v>通過</v>
      </c>
    </row>
    <row r="368" spans="1:24" ht="34" customHeight="1">
      <c r="A368" s="11" t="s">
        <v>2197</v>
      </c>
      <c r="B368" s="11" t="s">
        <v>2197</v>
      </c>
      <c r="C368" s="11" t="s">
        <v>54</v>
      </c>
      <c r="D368" s="11" t="s">
        <v>2198</v>
      </c>
      <c r="E368" s="11" t="s">
        <v>2199</v>
      </c>
      <c r="F368" s="11" t="s">
        <v>2200</v>
      </c>
      <c r="G368" s="11" t="s">
        <v>58</v>
      </c>
      <c r="H368" s="11" t="s">
        <v>2201</v>
      </c>
      <c r="I368" s="11" t="s">
        <v>2202</v>
      </c>
      <c r="J368" s="12" t="s">
        <v>8</v>
      </c>
      <c r="K368" s="12"/>
      <c r="L368" s="12"/>
      <c r="M368" s="12"/>
      <c r="N368" s="12"/>
      <c r="O368" s="12" t="s">
        <v>60</v>
      </c>
      <c r="P368" s="12"/>
      <c r="Q368" s="12"/>
      <c r="R368" s="12"/>
      <c r="S368" s="12"/>
      <c r="T368" s="13" t="str">
        <f t="shared" si="25"/>
        <v>通過</v>
      </c>
      <c r="U368" s="13" t="str">
        <f t="shared" si="26"/>
        <v>爸爸一個鐘頭後就回來了</v>
      </c>
      <c r="V368" s="13" t="str">
        <f t="shared" si="27"/>
        <v>爸爸/一個鐘頭/回來</v>
      </c>
      <c r="W368" s="13" t="str">
        <f t="shared" si="28"/>
        <v>是</v>
      </c>
      <c r="X368" s="13" t="str">
        <f t="shared" si="29"/>
        <v>通過</v>
      </c>
    </row>
    <row r="369" spans="1:24" ht="34" customHeight="1">
      <c r="A369" s="11" t="s">
        <v>2203</v>
      </c>
      <c r="B369" s="11" t="s">
        <v>2203</v>
      </c>
      <c r="C369" s="11" t="s">
        <v>54</v>
      </c>
      <c r="D369" s="11" t="s">
        <v>2204</v>
      </c>
      <c r="E369" s="11" t="s">
        <v>2205</v>
      </c>
      <c r="F369" s="11" t="s">
        <v>2206</v>
      </c>
      <c r="G369" s="11" t="s">
        <v>58</v>
      </c>
      <c r="H369" s="11" t="s">
        <v>2207</v>
      </c>
      <c r="I369" s="11" t="s">
        <v>2208</v>
      </c>
      <c r="J369" s="12" t="s">
        <v>8</v>
      </c>
      <c r="K369" s="12"/>
      <c r="L369" s="12"/>
      <c r="M369" s="12"/>
      <c r="N369" s="12"/>
      <c r="O369" s="12" t="s">
        <v>60</v>
      </c>
      <c r="P369" s="12"/>
      <c r="Q369" s="12"/>
      <c r="R369" s="12"/>
      <c r="S369" s="12"/>
      <c r="T369" s="13" t="str">
        <f t="shared" si="25"/>
        <v>通過</v>
      </c>
      <c r="U369" s="13" t="str">
        <f t="shared" si="26"/>
        <v>這間教室只有我一個人</v>
      </c>
      <c r="V369" s="13" t="str">
        <f t="shared" si="27"/>
        <v>這/教室/全部/我/只有一個/人</v>
      </c>
      <c r="W369" s="13" t="str">
        <f t="shared" si="28"/>
        <v>是</v>
      </c>
      <c r="X369" s="13" t="str">
        <f t="shared" si="29"/>
        <v>通過</v>
      </c>
    </row>
    <row r="370" spans="1:24" ht="34" customHeight="1">
      <c r="A370" s="11" t="s">
        <v>2209</v>
      </c>
      <c r="B370" s="11" t="s">
        <v>2209</v>
      </c>
      <c r="C370" s="11" t="s">
        <v>54</v>
      </c>
      <c r="D370" s="11" t="s">
        <v>2210</v>
      </c>
      <c r="E370" s="11" t="s">
        <v>2211</v>
      </c>
      <c r="F370" s="11" t="s">
        <v>2212</v>
      </c>
      <c r="G370" s="11" t="s">
        <v>58</v>
      </c>
      <c r="H370" s="11" t="s">
        <v>2213</v>
      </c>
      <c r="I370" s="11" t="s">
        <v>2214</v>
      </c>
      <c r="J370" s="12" t="s">
        <v>8</v>
      </c>
      <c r="K370" s="12"/>
      <c r="L370" s="12"/>
      <c r="M370" s="12"/>
      <c r="N370" s="12"/>
      <c r="O370" s="12" t="s">
        <v>60</v>
      </c>
      <c r="P370" s="12"/>
      <c r="Q370" s="12"/>
      <c r="R370" s="12"/>
      <c r="S370" s="12"/>
      <c r="T370" s="13" t="str">
        <f t="shared" si="25"/>
        <v>通過</v>
      </c>
      <c r="U370" s="13" t="str">
        <f t="shared" si="26"/>
        <v>這件牛仔褲很緊</v>
      </c>
      <c r="V370" s="13" t="str">
        <f t="shared" si="27"/>
        <v>這/牛/褲子/緊/悶</v>
      </c>
      <c r="W370" s="13" t="str">
        <f t="shared" si="28"/>
        <v>是</v>
      </c>
      <c r="X370" s="13" t="str">
        <f t="shared" si="29"/>
        <v>通過</v>
      </c>
    </row>
    <row r="371" spans="1:24" ht="34" customHeight="1">
      <c r="A371" s="11" t="s">
        <v>2215</v>
      </c>
      <c r="B371" s="11" t="s">
        <v>2215</v>
      </c>
      <c r="C371" s="11" t="s">
        <v>54</v>
      </c>
      <c r="D371" s="11" t="s">
        <v>2216</v>
      </c>
      <c r="E371" s="11" t="s">
        <v>1818</v>
      </c>
      <c r="F371" s="11" t="s">
        <v>2217</v>
      </c>
      <c r="G371" s="11" t="s">
        <v>58</v>
      </c>
      <c r="H371" s="11" t="s">
        <v>2218</v>
      </c>
      <c r="I371" s="11" t="s">
        <v>2219</v>
      </c>
      <c r="J371" s="12" t="s">
        <v>8</v>
      </c>
      <c r="K371" s="12"/>
      <c r="L371" s="12"/>
      <c r="M371" s="12"/>
      <c r="N371" s="12"/>
      <c r="O371" s="12" t="s">
        <v>60</v>
      </c>
      <c r="P371" s="12"/>
      <c r="Q371" s="12"/>
      <c r="R371" s="12"/>
      <c r="S371" s="12"/>
      <c r="T371" s="13" t="str">
        <f t="shared" si="25"/>
        <v>通過</v>
      </c>
      <c r="U371" s="13" t="str">
        <f t="shared" si="26"/>
        <v>我會三種語言</v>
      </c>
      <c r="V371" s="13" t="str">
        <f t="shared" si="27"/>
        <v>我/口語/三/會</v>
      </c>
      <c r="W371" s="13" t="str">
        <f t="shared" si="28"/>
        <v>是</v>
      </c>
      <c r="X371" s="13" t="str">
        <f t="shared" si="29"/>
        <v>通過</v>
      </c>
    </row>
    <row r="372" spans="1:24" ht="34" customHeight="1">
      <c r="A372" s="11" t="s">
        <v>2220</v>
      </c>
      <c r="B372" s="11" t="s">
        <v>2220</v>
      </c>
      <c r="C372" s="11" t="s">
        <v>54</v>
      </c>
      <c r="D372" s="11" t="s">
        <v>2221</v>
      </c>
      <c r="E372" s="11" t="s">
        <v>2222</v>
      </c>
      <c r="F372" s="11" t="s">
        <v>2223</v>
      </c>
      <c r="G372" s="11" t="s">
        <v>58</v>
      </c>
      <c r="H372" s="11" t="s">
        <v>2224</v>
      </c>
      <c r="I372" s="11" t="s">
        <v>2225</v>
      </c>
      <c r="J372" s="12" t="s">
        <v>8</v>
      </c>
      <c r="K372" s="12"/>
      <c r="L372" s="12"/>
      <c r="M372" s="12"/>
      <c r="N372" s="12"/>
      <c r="O372" s="12" t="s">
        <v>60</v>
      </c>
      <c r="P372" s="12"/>
      <c r="Q372" s="12"/>
      <c r="R372" s="12"/>
      <c r="S372" s="12"/>
      <c r="T372" s="13" t="str">
        <f t="shared" si="25"/>
        <v>通過</v>
      </c>
      <c r="U372" s="13" t="str">
        <f t="shared" si="26"/>
        <v>橘子是我最喜歡的水果</v>
      </c>
      <c r="V372" s="13" t="str">
        <f t="shared" si="27"/>
        <v>水果/其中/橘子/我/喜歡</v>
      </c>
      <c r="W372" s="13" t="str">
        <f t="shared" si="28"/>
        <v>是</v>
      </c>
      <c r="X372" s="13" t="str">
        <f t="shared" si="29"/>
        <v>通過</v>
      </c>
    </row>
    <row r="373" spans="1:24" ht="34" customHeight="1">
      <c r="A373" s="11" t="s">
        <v>2226</v>
      </c>
      <c r="B373" s="11" t="s">
        <v>2226</v>
      </c>
      <c r="C373" s="11" t="s">
        <v>54</v>
      </c>
      <c r="D373" s="11" t="s">
        <v>2227</v>
      </c>
      <c r="E373" s="11" t="s">
        <v>2228</v>
      </c>
      <c r="F373" s="11" t="s">
        <v>2229</v>
      </c>
      <c r="G373" s="11" t="s">
        <v>58</v>
      </c>
      <c r="H373" s="11" t="s">
        <v>2230</v>
      </c>
      <c r="I373" s="11" t="s">
        <v>2231</v>
      </c>
      <c r="J373" s="12" t="s">
        <v>8</v>
      </c>
      <c r="K373" s="12"/>
      <c r="L373" s="12"/>
      <c r="M373" s="12"/>
      <c r="N373" s="12"/>
      <c r="O373" s="12" t="s">
        <v>60</v>
      </c>
      <c r="P373" s="12"/>
      <c r="Q373" s="12"/>
      <c r="R373" s="12"/>
      <c r="S373" s="12"/>
      <c r="T373" s="13" t="str">
        <f t="shared" si="25"/>
        <v>通過</v>
      </c>
      <c r="U373" s="13" t="str">
        <f t="shared" si="26"/>
        <v>原來他是老師</v>
      </c>
      <c r="V373" s="13" t="str">
        <f t="shared" si="27"/>
        <v>他/老師/原來</v>
      </c>
      <c r="W373" s="13" t="str">
        <f t="shared" si="28"/>
        <v>是</v>
      </c>
      <c r="X373" s="13" t="str">
        <f t="shared" si="29"/>
        <v>通過</v>
      </c>
    </row>
    <row r="374" spans="1:24" ht="34" customHeight="1">
      <c r="A374" s="11" t="s">
        <v>2232</v>
      </c>
      <c r="B374" s="11" t="s">
        <v>2232</v>
      </c>
      <c r="C374" s="11" t="s">
        <v>54</v>
      </c>
      <c r="D374" s="11" t="s">
        <v>2233</v>
      </c>
      <c r="E374" s="11" t="s">
        <v>2234</v>
      </c>
      <c r="F374" s="11" t="s">
        <v>2235</v>
      </c>
      <c r="G374" s="11" t="s">
        <v>58</v>
      </c>
      <c r="H374" s="11" t="s">
        <v>2236</v>
      </c>
      <c r="I374" s="11" t="s">
        <v>2237</v>
      </c>
      <c r="J374" s="12" t="s">
        <v>8</v>
      </c>
      <c r="K374" s="12"/>
      <c r="L374" s="12"/>
      <c r="M374" s="12"/>
      <c r="N374" s="12"/>
      <c r="O374" s="12" t="s">
        <v>60</v>
      </c>
      <c r="P374" s="12"/>
      <c r="Q374" s="12"/>
      <c r="R374" s="12"/>
      <c r="S374" s="12"/>
      <c r="T374" s="13" t="str">
        <f t="shared" si="25"/>
        <v>通過</v>
      </c>
      <c r="U374" s="13" t="str">
        <f t="shared" si="26"/>
        <v>你還有其他的計劃嗎?</v>
      </c>
      <c r="V374" s="13" t="str">
        <f t="shared" si="27"/>
        <v>你/想/計畫/又/其他/有沒有</v>
      </c>
      <c r="W374" s="13" t="str">
        <f t="shared" si="28"/>
        <v>是</v>
      </c>
      <c r="X374" s="13" t="str">
        <f t="shared" si="29"/>
        <v>通過</v>
      </c>
    </row>
    <row r="375" spans="1:24" ht="34" customHeight="1">
      <c r="A375" s="11" t="s">
        <v>2238</v>
      </c>
      <c r="B375" s="11" t="s">
        <v>2238</v>
      </c>
      <c r="C375" s="11" t="s">
        <v>54</v>
      </c>
      <c r="D375" s="11" t="s">
        <v>2233</v>
      </c>
      <c r="E375" s="11" t="s">
        <v>2239</v>
      </c>
      <c r="F375" s="11" t="s">
        <v>2240</v>
      </c>
      <c r="G375" s="11" t="s">
        <v>58</v>
      </c>
      <c r="H375" s="11" t="s">
        <v>2241</v>
      </c>
      <c r="I375" s="11" t="s">
        <v>2242</v>
      </c>
      <c r="J375" s="12" t="s">
        <v>8</v>
      </c>
      <c r="K375" s="12"/>
      <c r="L375" s="12"/>
      <c r="M375" s="12"/>
      <c r="N375" s="12"/>
      <c r="O375" s="12" t="s">
        <v>60</v>
      </c>
      <c r="P375" s="12"/>
      <c r="Q375" s="12"/>
      <c r="R375" s="12"/>
      <c r="S375" s="12"/>
      <c r="T375" s="13" t="str">
        <f t="shared" si="25"/>
        <v>通過</v>
      </c>
      <c r="U375" s="13" t="str">
        <f t="shared" si="26"/>
        <v>外面的天氣不錯</v>
      </c>
      <c r="V375" s="13" t="str">
        <f t="shared" si="27"/>
        <v>外面/那/晴天/還不錯</v>
      </c>
      <c r="W375" s="13" t="str">
        <f t="shared" si="28"/>
        <v>是</v>
      </c>
      <c r="X375" s="13" t="str">
        <f t="shared" si="29"/>
        <v>通過</v>
      </c>
    </row>
    <row r="376" spans="1:24" ht="34" customHeight="1">
      <c r="A376" s="11" t="s">
        <v>2243</v>
      </c>
      <c r="B376" s="11" t="s">
        <v>2243</v>
      </c>
      <c r="C376" s="11" t="s">
        <v>54</v>
      </c>
      <c r="D376" s="11" t="s">
        <v>2244</v>
      </c>
      <c r="E376" s="11" t="s">
        <v>2245</v>
      </c>
      <c r="F376" s="11" t="s">
        <v>2246</v>
      </c>
      <c r="G376" s="11" t="s">
        <v>58</v>
      </c>
      <c r="H376" s="11" t="s">
        <v>2247</v>
      </c>
      <c r="I376" s="11" t="s">
        <v>2248</v>
      </c>
      <c r="J376" s="12" t="s">
        <v>8</v>
      </c>
      <c r="K376" s="12"/>
      <c r="L376" s="12"/>
      <c r="M376" s="12"/>
      <c r="N376" s="12"/>
      <c r="O376" s="12" t="s">
        <v>60</v>
      </c>
      <c r="P376" s="12"/>
      <c r="Q376" s="12"/>
      <c r="R376" s="12"/>
      <c r="S376" s="12"/>
      <c r="T376" s="13" t="str">
        <f t="shared" si="25"/>
        <v>通過</v>
      </c>
      <c r="U376" s="13" t="str">
        <f t="shared" si="26"/>
        <v>我好想出去玩</v>
      </c>
      <c r="V376" s="13" t="str">
        <f t="shared" si="27"/>
        <v>我/去/玩/想</v>
      </c>
      <c r="W376" s="13" t="str">
        <f t="shared" si="28"/>
        <v>是</v>
      </c>
      <c r="X376" s="13" t="str">
        <f t="shared" si="29"/>
        <v>通過</v>
      </c>
    </row>
    <row r="377" spans="1:24" ht="34" customHeight="1">
      <c r="A377" s="11" t="s">
        <v>2249</v>
      </c>
      <c r="B377" s="11" t="s">
        <v>2249</v>
      </c>
      <c r="C377" s="11" t="s">
        <v>54</v>
      </c>
      <c r="D377" s="11" t="s">
        <v>2250</v>
      </c>
      <c r="E377" s="11" t="s">
        <v>2251</v>
      </c>
      <c r="F377" s="11" t="s">
        <v>2252</v>
      </c>
      <c r="G377" s="11" t="s">
        <v>58</v>
      </c>
      <c r="H377" s="11" t="s">
        <v>2253</v>
      </c>
      <c r="I377" s="11" t="s">
        <v>2254</v>
      </c>
      <c r="J377" s="12" t="s">
        <v>8</v>
      </c>
      <c r="K377" s="12"/>
      <c r="L377" s="12"/>
      <c r="M377" s="12"/>
      <c r="N377" s="12"/>
      <c r="O377" s="12" t="s">
        <v>60</v>
      </c>
      <c r="P377" s="12"/>
      <c r="Q377" s="12"/>
      <c r="R377" s="12"/>
      <c r="S377" s="12"/>
      <c r="T377" s="13" t="str">
        <f t="shared" si="25"/>
        <v>通過</v>
      </c>
      <c r="U377" s="13" t="str">
        <f t="shared" si="26"/>
        <v>這件褲子是名牌</v>
      </c>
      <c r="V377" s="13" t="str">
        <f t="shared" si="27"/>
        <v>這/褲子/有名/貴</v>
      </c>
      <c r="W377" s="13" t="str">
        <f t="shared" si="28"/>
        <v>是</v>
      </c>
      <c r="X377" s="13" t="str">
        <f t="shared" si="29"/>
        <v>通過</v>
      </c>
    </row>
    <row r="378" spans="1:24" ht="34" customHeight="1">
      <c r="A378" s="11" t="s">
        <v>2255</v>
      </c>
      <c r="B378" s="11" t="s">
        <v>2255</v>
      </c>
      <c r="C378" s="11" t="s">
        <v>54</v>
      </c>
      <c r="D378" s="11" t="s">
        <v>2256</v>
      </c>
      <c r="E378" s="11" t="s">
        <v>2257</v>
      </c>
      <c r="F378" s="11" t="s">
        <v>2258</v>
      </c>
      <c r="G378" s="11" t="s">
        <v>58</v>
      </c>
      <c r="H378" s="11" t="s">
        <v>2259</v>
      </c>
      <c r="I378" s="11" t="s">
        <v>2260</v>
      </c>
      <c r="J378" s="12" t="s">
        <v>8</v>
      </c>
      <c r="K378" s="12"/>
      <c r="L378" s="12"/>
      <c r="M378" s="12"/>
      <c r="N378" s="12"/>
      <c r="O378" s="12" t="s">
        <v>60</v>
      </c>
      <c r="P378" s="12"/>
      <c r="Q378" s="12"/>
      <c r="R378" s="12"/>
      <c r="S378" s="12"/>
      <c r="T378" s="13" t="str">
        <f t="shared" si="25"/>
        <v>通過</v>
      </c>
      <c r="U378" s="13" t="str">
        <f t="shared" si="26"/>
        <v>紅線不能停車</v>
      </c>
      <c r="V378" s="13" t="str">
        <f t="shared" si="27"/>
        <v>紅/邊/停車/不行</v>
      </c>
      <c r="W378" s="13" t="str">
        <f t="shared" si="28"/>
        <v>是</v>
      </c>
      <c r="X378" s="13" t="str">
        <f t="shared" si="29"/>
        <v>通過</v>
      </c>
    </row>
    <row r="379" spans="1:24" ht="34" customHeight="1">
      <c r="A379" s="11" t="s">
        <v>2261</v>
      </c>
      <c r="B379" s="11" t="s">
        <v>2261</v>
      </c>
      <c r="C379" s="11" t="s">
        <v>54</v>
      </c>
      <c r="D379" s="11" t="s">
        <v>2262</v>
      </c>
      <c r="E379" s="11" t="s">
        <v>2263</v>
      </c>
      <c r="F379" s="11" t="s">
        <v>2264</v>
      </c>
      <c r="G379" s="11" t="s">
        <v>58</v>
      </c>
      <c r="H379" s="11" t="s">
        <v>2265</v>
      </c>
      <c r="I379" s="11" t="s">
        <v>2266</v>
      </c>
      <c r="J379" s="12" t="s">
        <v>8</v>
      </c>
      <c r="K379" s="12"/>
      <c r="L379" s="12"/>
      <c r="M379" s="12"/>
      <c r="N379" s="12"/>
      <c r="O379" s="12" t="s">
        <v>60</v>
      </c>
      <c r="P379" s="12"/>
      <c r="Q379" s="12"/>
      <c r="R379" s="12"/>
      <c r="S379" s="12"/>
      <c r="T379" s="13" t="str">
        <f t="shared" si="25"/>
        <v>通過</v>
      </c>
      <c r="U379" s="13" t="str">
        <f t="shared" si="26"/>
        <v>我要參明天下午的會議</v>
      </c>
      <c r="V379" s="13" t="str">
        <f t="shared" si="27"/>
        <v>明天/下午/會議/我/參加/要</v>
      </c>
      <c r="W379" s="13" t="str">
        <f t="shared" si="28"/>
        <v>是</v>
      </c>
      <c r="X379" s="13" t="str">
        <f t="shared" si="29"/>
        <v>通過</v>
      </c>
    </row>
    <row r="380" spans="1:24" ht="34" customHeight="1">
      <c r="A380" s="11" t="s">
        <v>2267</v>
      </c>
      <c r="B380" s="11" t="s">
        <v>2267</v>
      </c>
      <c r="C380" s="11" t="s">
        <v>54</v>
      </c>
      <c r="D380" s="11" t="s">
        <v>2268</v>
      </c>
      <c r="E380" s="11" t="s">
        <v>2269</v>
      </c>
      <c r="F380" s="11" t="s">
        <v>2270</v>
      </c>
      <c r="G380" s="11" t="s">
        <v>58</v>
      </c>
      <c r="H380" s="11" t="s">
        <v>2271</v>
      </c>
      <c r="I380" s="11" t="s">
        <v>2272</v>
      </c>
      <c r="J380" s="12" t="s">
        <v>8</v>
      </c>
      <c r="K380" s="12"/>
      <c r="L380" s="12"/>
      <c r="M380" s="12"/>
      <c r="N380" s="12"/>
      <c r="O380" s="12" t="s">
        <v>60</v>
      </c>
      <c r="P380" s="12"/>
      <c r="Q380" s="12"/>
      <c r="R380" s="12"/>
      <c r="S380" s="12"/>
      <c r="T380" s="13" t="str">
        <f t="shared" si="25"/>
        <v>通過</v>
      </c>
      <c r="U380" s="13" t="str">
        <f t="shared" si="26"/>
        <v>他通過了重重考驗</v>
      </c>
      <c r="V380" s="13" t="str">
        <f t="shared" si="27"/>
        <v>他/考試/輪流/他/過/通過</v>
      </c>
      <c r="W380" s="13" t="str">
        <f t="shared" si="28"/>
        <v>是</v>
      </c>
      <c r="X380" s="13" t="str">
        <f t="shared" si="29"/>
        <v>通過</v>
      </c>
    </row>
    <row r="381" spans="1:24" ht="34" customHeight="1">
      <c r="A381" s="11" t="s">
        <v>2273</v>
      </c>
      <c r="B381" s="11" t="s">
        <v>2273</v>
      </c>
      <c r="C381" s="11" t="s">
        <v>54</v>
      </c>
      <c r="D381" s="11" t="s">
        <v>2274</v>
      </c>
      <c r="E381" s="11" t="s">
        <v>2275</v>
      </c>
      <c r="F381" s="11" t="s">
        <v>2276</v>
      </c>
      <c r="G381" s="11" t="s">
        <v>58</v>
      </c>
      <c r="H381" s="11" t="s">
        <v>2277</v>
      </c>
      <c r="I381" s="11" t="s">
        <v>2278</v>
      </c>
      <c r="J381" s="12" t="s">
        <v>8</v>
      </c>
      <c r="K381" s="12"/>
      <c r="L381" s="12"/>
      <c r="M381" s="12"/>
      <c r="N381" s="12"/>
      <c r="O381" s="12" t="s">
        <v>60</v>
      </c>
      <c r="P381" s="12"/>
      <c r="Q381" s="12"/>
      <c r="R381" s="12"/>
      <c r="S381" s="12"/>
      <c r="T381" s="13" t="str">
        <f t="shared" si="25"/>
        <v>通過</v>
      </c>
      <c r="U381" s="13" t="str">
        <f t="shared" si="26"/>
        <v>我以前很胖，現在變瘦了</v>
      </c>
      <c r="V381" s="13" t="str">
        <f t="shared" si="27"/>
        <v>我/以前/胖/現在/瘦/竹子</v>
      </c>
      <c r="W381" s="13" t="str">
        <f t="shared" si="28"/>
        <v>是</v>
      </c>
      <c r="X381" s="13" t="str">
        <f t="shared" si="29"/>
        <v>通過</v>
      </c>
    </row>
    <row r="382" spans="1:24" ht="34" customHeight="1">
      <c r="A382" s="11" t="s">
        <v>2279</v>
      </c>
      <c r="B382" s="11" t="s">
        <v>2279</v>
      </c>
      <c r="C382" s="11" t="s">
        <v>54</v>
      </c>
      <c r="D382" s="11" t="s">
        <v>2280</v>
      </c>
      <c r="E382" s="11" t="s">
        <v>2281</v>
      </c>
      <c r="F382" s="11" t="s">
        <v>2282</v>
      </c>
      <c r="G382" s="11" t="s">
        <v>58</v>
      </c>
      <c r="H382" s="11" t="s">
        <v>2283</v>
      </c>
      <c r="I382" s="11" t="s">
        <v>2284</v>
      </c>
      <c r="J382" s="12" t="s">
        <v>8</v>
      </c>
      <c r="K382" s="12"/>
      <c r="L382" s="12"/>
      <c r="M382" s="12"/>
      <c r="N382" s="12"/>
      <c r="O382" s="12" t="s">
        <v>60</v>
      </c>
      <c r="P382" s="12"/>
      <c r="Q382" s="12"/>
      <c r="R382" s="12"/>
      <c r="S382" s="12"/>
      <c r="T382" s="13" t="str">
        <f t="shared" si="25"/>
        <v>通過</v>
      </c>
      <c r="U382" s="13" t="str">
        <f t="shared" si="26"/>
        <v>剛剛忍不住笑了起來</v>
      </c>
      <c r="V382" s="13" t="str">
        <f t="shared" si="27"/>
        <v>剛剛/忍耐/笑/忍耐/不能</v>
      </c>
      <c r="W382" s="13" t="str">
        <f t="shared" si="28"/>
        <v>是</v>
      </c>
      <c r="X382" s="13" t="str">
        <f t="shared" si="29"/>
        <v>通過</v>
      </c>
    </row>
    <row r="383" spans="1:24" ht="34" customHeight="1">
      <c r="A383" s="11" t="s">
        <v>2285</v>
      </c>
      <c r="B383" s="11" t="s">
        <v>2285</v>
      </c>
      <c r="C383" s="11" t="s">
        <v>54</v>
      </c>
      <c r="D383" s="11" t="s">
        <v>2286</v>
      </c>
      <c r="E383" s="11" t="s">
        <v>2287</v>
      </c>
      <c r="F383" s="11" t="s">
        <v>2288</v>
      </c>
      <c r="G383" s="11" t="s">
        <v>58</v>
      </c>
      <c r="H383" s="11" t="s">
        <v>2289</v>
      </c>
      <c r="I383" s="11" t="s">
        <v>2290</v>
      </c>
      <c r="J383" s="12" t="s">
        <v>8</v>
      </c>
      <c r="K383" s="12"/>
      <c r="L383" s="12"/>
      <c r="M383" s="12"/>
      <c r="N383" s="12"/>
      <c r="O383" s="12" t="s">
        <v>60</v>
      </c>
      <c r="P383" s="12"/>
      <c r="Q383" s="12"/>
      <c r="R383" s="12"/>
      <c r="S383" s="12"/>
      <c r="T383" s="13" t="str">
        <f t="shared" si="25"/>
        <v>通過</v>
      </c>
      <c r="U383" s="13" t="str">
        <f t="shared" si="26"/>
        <v>警察識破犯人的計謀</v>
      </c>
      <c r="V383" s="13" t="str">
        <f t="shared" si="27"/>
        <v>他/壞人/他/設計/他/警察/看穿/破</v>
      </c>
      <c r="W383" s="13" t="str">
        <f t="shared" si="28"/>
        <v>是</v>
      </c>
      <c r="X383" s="13" t="str">
        <f t="shared" si="29"/>
        <v>通過</v>
      </c>
    </row>
    <row r="384" spans="1:24" ht="34" customHeight="1">
      <c r="A384" s="11" t="s">
        <v>2291</v>
      </c>
      <c r="B384" s="11" t="s">
        <v>2291</v>
      </c>
      <c r="C384" s="11" t="s">
        <v>54</v>
      </c>
      <c r="D384" s="11" t="s">
        <v>2292</v>
      </c>
      <c r="E384" s="11" t="s">
        <v>2293</v>
      </c>
      <c r="F384" s="11" t="s">
        <v>2294</v>
      </c>
      <c r="G384" s="11" t="s">
        <v>58</v>
      </c>
      <c r="H384" s="11" t="s">
        <v>2295</v>
      </c>
      <c r="I384" s="11" t="s">
        <v>2296</v>
      </c>
      <c r="J384" s="12" t="s">
        <v>8</v>
      </c>
      <c r="K384" s="12"/>
      <c r="L384" s="12"/>
      <c r="M384" s="12"/>
      <c r="N384" s="12"/>
      <c r="O384" s="12" t="s">
        <v>60</v>
      </c>
      <c r="P384" s="12"/>
      <c r="Q384" s="12"/>
      <c r="R384" s="12"/>
      <c r="S384" s="12"/>
      <c r="T384" s="13" t="str">
        <f t="shared" si="25"/>
        <v>通過</v>
      </c>
      <c r="U384" s="13" t="str">
        <f t="shared" si="26"/>
        <v>這是標準答案</v>
      </c>
      <c r="V384" s="13" t="str">
        <f t="shared" si="27"/>
        <v>這/答案/標準</v>
      </c>
      <c r="W384" s="13" t="str">
        <f t="shared" si="28"/>
        <v>是</v>
      </c>
      <c r="X384" s="13" t="str">
        <f t="shared" si="29"/>
        <v>通過</v>
      </c>
    </row>
    <row r="385" spans="1:24" ht="34" customHeight="1">
      <c r="A385" s="11" t="s">
        <v>2297</v>
      </c>
      <c r="B385" s="11" t="s">
        <v>2297</v>
      </c>
      <c r="C385" s="11" t="s">
        <v>54</v>
      </c>
      <c r="D385" s="11" t="s">
        <v>2298</v>
      </c>
      <c r="E385" s="11" t="s">
        <v>2299</v>
      </c>
      <c r="F385" s="11" t="s">
        <v>2300</v>
      </c>
      <c r="G385" s="11" t="s">
        <v>58</v>
      </c>
      <c r="H385" s="11" t="s">
        <v>2301</v>
      </c>
      <c r="I385" s="11" t="s">
        <v>2302</v>
      </c>
      <c r="J385" s="12" t="s">
        <v>8</v>
      </c>
      <c r="K385" s="12"/>
      <c r="L385" s="12"/>
      <c r="M385" s="12"/>
      <c r="N385" s="12"/>
      <c r="O385" s="12" t="s">
        <v>60</v>
      </c>
      <c r="P385" s="12"/>
      <c r="Q385" s="12"/>
      <c r="R385" s="12"/>
      <c r="S385" s="12"/>
      <c r="T385" s="13" t="str">
        <f t="shared" si="25"/>
        <v>通過</v>
      </c>
      <c r="U385" s="13" t="str">
        <f t="shared" si="26"/>
        <v>那邊有兩個人</v>
      </c>
      <c r="V385" s="13" t="str">
        <f t="shared" si="27"/>
        <v>那/兩個/人/那</v>
      </c>
      <c r="W385" s="13" t="str">
        <f t="shared" si="28"/>
        <v>是</v>
      </c>
      <c r="X385" s="13" t="str">
        <f t="shared" si="29"/>
        <v>通過</v>
      </c>
    </row>
    <row r="386" spans="1:24" ht="34" customHeight="1">
      <c r="A386" s="11" t="s">
        <v>2303</v>
      </c>
      <c r="B386" s="11" t="s">
        <v>2303</v>
      </c>
      <c r="C386" s="11" t="s">
        <v>54</v>
      </c>
      <c r="D386" s="11" t="s">
        <v>2304</v>
      </c>
      <c r="E386" s="11" t="s">
        <v>2305</v>
      </c>
      <c r="F386" s="11" t="s">
        <v>2306</v>
      </c>
      <c r="G386" s="11" t="s">
        <v>58</v>
      </c>
      <c r="H386" s="11" t="s">
        <v>2307</v>
      </c>
      <c r="I386" s="11" t="s">
        <v>2308</v>
      </c>
      <c r="J386" s="12" t="s">
        <v>8</v>
      </c>
      <c r="K386" s="12"/>
      <c r="L386" s="12"/>
      <c r="M386" s="12"/>
      <c r="N386" s="12"/>
      <c r="O386" s="12" t="s">
        <v>60</v>
      </c>
      <c r="P386" s="12"/>
      <c r="Q386" s="12"/>
      <c r="R386" s="12"/>
      <c r="S386" s="12"/>
      <c r="T386" s="13" t="str">
        <f t="shared" ref="T386:T449" si="30">IF(J386="","未填",IF(J386="需複審",IF(OR(P386="",P386="仍需複審"),"待複審",P386),J386))</f>
        <v>通過</v>
      </c>
      <c r="U386" s="13" t="str">
        <f t="shared" ref="U386:U449" si="31">IF(T386="通過",E386,IF(T386="需更正",IF(J386="需複審",IF(Q386="",E386,Q386),IF(L386="",E386,L386)),""))</f>
        <v>我喜歡運動</v>
      </c>
      <c r="V386" s="13" t="str">
        <f t="shared" ref="V386:V449" si="32">IF(T386="通過",F386,IF(T386="需更正",IF(J386="需複審",R386,M386),""))</f>
        <v>運動/我/喜歡</v>
      </c>
      <c r="W386" s="13" t="str">
        <f t="shared" ref="W386:W449" si="33">IF(AND(OR(T386="通過",AND(T386="需更正",V386&lt;&gt;"")),X386="通過"),"是","否")</f>
        <v>是</v>
      </c>
      <c r="X386" s="13" t="str">
        <f t="shared" ref="X386:X449" si="34">IF(J386="","未填",IF(AND(J386="需複審",OR(P386="",P386="仍需複審")),"待複審",IF(OR(AND(J386="需更正",K386=""),AND(J386="需更正",M386=""),AND(J386="需更正",N386=""),AND(J386="排除",OR(K386="",N386="")),AND(J386="需複審",P386="需更正",R386=""),AND(J386="需複審",P386="需更正",S386=""),AND(J386="需複審",P386="排除",S386="")),"錯誤：請補齊必填欄位","通過")))</f>
        <v>通過</v>
      </c>
    </row>
    <row r="387" spans="1:24" ht="34" customHeight="1">
      <c r="A387" s="11" t="s">
        <v>2309</v>
      </c>
      <c r="B387" s="11" t="s">
        <v>2309</v>
      </c>
      <c r="C387" s="11" t="s">
        <v>54</v>
      </c>
      <c r="D387" s="11" t="s">
        <v>2304</v>
      </c>
      <c r="E387" s="11" t="s">
        <v>2310</v>
      </c>
      <c r="F387" s="11" t="s">
        <v>2311</v>
      </c>
      <c r="G387" s="11" t="s">
        <v>58</v>
      </c>
      <c r="H387" s="11" t="s">
        <v>2312</v>
      </c>
      <c r="I387" s="11" t="s">
        <v>2313</v>
      </c>
      <c r="J387" s="12" t="s">
        <v>8</v>
      </c>
      <c r="K387" s="12"/>
      <c r="L387" s="12"/>
      <c r="M387" s="12"/>
      <c r="N387" s="12"/>
      <c r="O387" s="12" t="s">
        <v>60</v>
      </c>
      <c r="P387" s="12"/>
      <c r="Q387" s="12"/>
      <c r="R387" s="12"/>
      <c r="S387" s="12"/>
      <c r="T387" s="13" t="str">
        <f t="shared" si="30"/>
        <v>通過</v>
      </c>
      <c r="U387" s="13" t="str">
        <f t="shared" si="31"/>
        <v>每個星期三要運動</v>
      </c>
      <c r="V387" s="13" t="str">
        <f t="shared" si="32"/>
        <v>每/星期三/運動/要</v>
      </c>
      <c r="W387" s="13" t="str">
        <f t="shared" si="33"/>
        <v>是</v>
      </c>
      <c r="X387" s="13" t="str">
        <f t="shared" si="34"/>
        <v>通過</v>
      </c>
    </row>
    <row r="388" spans="1:24" ht="34" customHeight="1">
      <c r="A388" s="11" t="s">
        <v>2314</v>
      </c>
      <c r="B388" s="11" t="s">
        <v>2314</v>
      </c>
      <c r="C388" s="11" t="s">
        <v>54</v>
      </c>
      <c r="D388" s="11" t="s">
        <v>2315</v>
      </c>
      <c r="E388" s="11" t="s">
        <v>2316</v>
      </c>
      <c r="F388" s="11" t="s">
        <v>2317</v>
      </c>
      <c r="G388" s="11" t="s">
        <v>58</v>
      </c>
      <c r="H388" s="11" t="s">
        <v>2318</v>
      </c>
      <c r="I388" s="11" t="s">
        <v>2319</v>
      </c>
      <c r="J388" s="12" t="s">
        <v>8</v>
      </c>
      <c r="K388" s="12"/>
      <c r="L388" s="12"/>
      <c r="M388" s="12"/>
      <c r="N388" s="12"/>
      <c r="O388" s="12" t="s">
        <v>60</v>
      </c>
      <c r="P388" s="12"/>
      <c r="Q388" s="12"/>
      <c r="R388" s="12"/>
      <c r="S388" s="12"/>
      <c r="T388" s="13" t="str">
        <f t="shared" si="30"/>
        <v>通過</v>
      </c>
      <c r="U388" s="13" t="str">
        <f t="shared" si="31"/>
        <v>新年前記得先訂火車票</v>
      </c>
      <c r="V388" s="13" t="str">
        <f t="shared" si="32"/>
        <v>新年/前/火車/票/首先/訂/記得</v>
      </c>
      <c r="W388" s="13" t="str">
        <f t="shared" si="33"/>
        <v>是</v>
      </c>
      <c r="X388" s="13" t="str">
        <f t="shared" si="34"/>
        <v>通過</v>
      </c>
    </row>
    <row r="389" spans="1:24" ht="34" customHeight="1">
      <c r="A389" s="11" t="s">
        <v>2320</v>
      </c>
      <c r="B389" s="11" t="s">
        <v>2320</v>
      </c>
      <c r="C389" s="11" t="s">
        <v>54</v>
      </c>
      <c r="D389" s="11" t="s">
        <v>2321</v>
      </c>
      <c r="E389" s="11" t="s">
        <v>2322</v>
      </c>
      <c r="F389" s="11" t="s">
        <v>2323</v>
      </c>
      <c r="G389" s="11" t="s">
        <v>58</v>
      </c>
      <c r="H389" s="11" t="s">
        <v>2324</v>
      </c>
      <c r="I389" s="11" t="s">
        <v>2325</v>
      </c>
      <c r="J389" s="12" t="s">
        <v>8</v>
      </c>
      <c r="K389" s="12"/>
      <c r="L389" s="12"/>
      <c r="M389" s="12"/>
      <c r="N389" s="12"/>
      <c r="O389" s="12" t="s">
        <v>60</v>
      </c>
      <c r="P389" s="12"/>
      <c r="Q389" s="12"/>
      <c r="R389" s="12"/>
      <c r="S389" s="12"/>
      <c r="T389" s="13" t="str">
        <f t="shared" si="30"/>
        <v>通過</v>
      </c>
      <c r="U389" s="13" t="str">
        <f t="shared" si="31"/>
        <v>他計畫明年去滑雪</v>
      </c>
      <c r="V389" s="13" t="str">
        <f t="shared" si="32"/>
        <v>他/計畫/明年/去/雪/滑雪</v>
      </c>
      <c r="W389" s="13" t="str">
        <f t="shared" si="33"/>
        <v>是</v>
      </c>
      <c r="X389" s="13" t="str">
        <f t="shared" si="34"/>
        <v>通過</v>
      </c>
    </row>
    <row r="390" spans="1:24" ht="34" customHeight="1">
      <c r="A390" s="11" t="s">
        <v>2326</v>
      </c>
      <c r="B390" s="11" t="s">
        <v>2326</v>
      </c>
      <c r="C390" s="11" t="s">
        <v>54</v>
      </c>
      <c r="D390" s="11" t="s">
        <v>2327</v>
      </c>
      <c r="E390" s="11" t="s">
        <v>2328</v>
      </c>
      <c r="F390" s="11" t="s">
        <v>2329</v>
      </c>
      <c r="G390" s="11" t="s">
        <v>58</v>
      </c>
      <c r="H390" s="11" t="s">
        <v>2330</v>
      </c>
      <c r="I390" s="11" t="s">
        <v>2331</v>
      </c>
      <c r="J390" s="12" t="s">
        <v>8</v>
      </c>
      <c r="K390" s="12"/>
      <c r="L390" s="12"/>
      <c r="M390" s="12"/>
      <c r="N390" s="12"/>
      <c r="O390" s="12" t="s">
        <v>60</v>
      </c>
      <c r="P390" s="12"/>
      <c r="Q390" s="12"/>
      <c r="R390" s="12"/>
      <c r="S390" s="12"/>
      <c r="T390" s="13" t="str">
        <f t="shared" si="30"/>
        <v>通過</v>
      </c>
      <c r="U390" s="13" t="str">
        <f t="shared" si="31"/>
        <v>農夫在田裡種了各種各樣的水果</v>
      </c>
      <c r="V390" s="13" t="str">
        <f t="shared" si="32"/>
        <v>田/農夫/種/水果/各式各樣</v>
      </c>
      <c r="W390" s="13" t="str">
        <f t="shared" si="33"/>
        <v>是</v>
      </c>
      <c r="X390" s="13" t="str">
        <f t="shared" si="34"/>
        <v>通過</v>
      </c>
    </row>
    <row r="391" spans="1:24" ht="34" customHeight="1">
      <c r="A391" s="11" t="s">
        <v>2332</v>
      </c>
      <c r="B391" s="11" t="s">
        <v>2332</v>
      </c>
      <c r="C391" s="11" t="s">
        <v>54</v>
      </c>
      <c r="D391" s="11" t="s">
        <v>2333</v>
      </c>
      <c r="E391" s="11" t="s">
        <v>2334</v>
      </c>
      <c r="F391" s="11" t="s">
        <v>2335</v>
      </c>
      <c r="G391" s="11" t="s">
        <v>58</v>
      </c>
      <c r="H391" s="11" t="s">
        <v>2336</v>
      </c>
      <c r="I391" s="11" t="s">
        <v>2337</v>
      </c>
      <c r="J391" s="12" t="s">
        <v>8</v>
      </c>
      <c r="K391" s="12"/>
      <c r="L391" s="12"/>
      <c r="M391" s="12"/>
      <c r="N391" s="12"/>
      <c r="O391" s="12" t="s">
        <v>60</v>
      </c>
      <c r="P391" s="12"/>
      <c r="Q391" s="12"/>
      <c r="R391" s="12"/>
      <c r="S391" s="12"/>
      <c r="T391" s="13" t="str">
        <f t="shared" si="30"/>
        <v>通過</v>
      </c>
      <c r="U391" s="13" t="str">
        <f t="shared" si="31"/>
        <v>請再說一次</v>
      </c>
      <c r="V391" s="13" t="str">
        <f t="shared" si="32"/>
        <v>請/再/說/請/再/說/再/一</v>
      </c>
      <c r="W391" s="13" t="str">
        <f t="shared" si="33"/>
        <v>是</v>
      </c>
      <c r="X391" s="13" t="str">
        <f t="shared" si="34"/>
        <v>通過</v>
      </c>
    </row>
    <row r="392" spans="1:24" ht="34" customHeight="1">
      <c r="A392" s="11" t="s">
        <v>2338</v>
      </c>
      <c r="B392" s="11" t="s">
        <v>2338</v>
      </c>
      <c r="C392" s="11" t="s">
        <v>54</v>
      </c>
      <c r="D392" s="11" t="s">
        <v>2339</v>
      </c>
      <c r="E392" s="11" t="s">
        <v>2340</v>
      </c>
      <c r="F392" s="11" t="s">
        <v>2341</v>
      </c>
      <c r="G392" s="11" t="s">
        <v>58</v>
      </c>
      <c r="H392" s="11" t="s">
        <v>2342</v>
      </c>
      <c r="I392" s="11" t="s">
        <v>2343</v>
      </c>
      <c r="J392" s="12" t="s">
        <v>8</v>
      </c>
      <c r="K392" s="12"/>
      <c r="L392" s="12"/>
      <c r="M392" s="12"/>
      <c r="N392" s="12"/>
      <c r="O392" s="12" t="s">
        <v>60</v>
      </c>
      <c r="P392" s="12"/>
      <c r="Q392" s="12"/>
      <c r="R392" s="12"/>
      <c r="S392" s="12"/>
      <c r="T392" s="13" t="str">
        <f t="shared" si="30"/>
        <v>通過</v>
      </c>
      <c r="U392" s="13" t="str">
        <f t="shared" si="31"/>
        <v>警察是人民保母</v>
      </c>
      <c r="V392" s="13" t="str">
        <f t="shared" si="32"/>
        <v>社會/他們/警察/保護/是</v>
      </c>
      <c r="W392" s="13" t="str">
        <f t="shared" si="33"/>
        <v>是</v>
      </c>
      <c r="X392" s="13" t="str">
        <f t="shared" si="34"/>
        <v>通過</v>
      </c>
    </row>
    <row r="393" spans="1:24" ht="34" customHeight="1">
      <c r="A393" s="11" t="s">
        <v>2344</v>
      </c>
      <c r="B393" s="11" t="s">
        <v>2344</v>
      </c>
      <c r="C393" s="11" t="s">
        <v>54</v>
      </c>
      <c r="D393" s="11" t="s">
        <v>2345</v>
      </c>
      <c r="E393" s="11" t="s">
        <v>2346</v>
      </c>
      <c r="F393" s="11" t="s">
        <v>2347</v>
      </c>
      <c r="G393" s="11" t="s">
        <v>58</v>
      </c>
      <c r="H393" s="11" t="s">
        <v>2348</v>
      </c>
      <c r="I393" s="11" t="s">
        <v>2349</v>
      </c>
      <c r="J393" s="12" t="s">
        <v>8</v>
      </c>
      <c r="K393" s="12"/>
      <c r="L393" s="12"/>
      <c r="M393" s="12"/>
      <c r="N393" s="12"/>
      <c r="O393" s="12" t="s">
        <v>60</v>
      </c>
      <c r="P393" s="12"/>
      <c r="Q393" s="12"/>
      <c r="R393" s="12"/>
      <c r="S393" s="12"/>
      <c r="T393" s="13" t="str">
        <f t="shared" si="30"/>
        <v>通過</v>
      </c>
      <c r="U393" s="13" t="str">
        <f t="shared" si="31"/>
        <v>弟弟去郵局寄信</v>
      </c>
      <c r="V393" s="13" t="str">
        <f t="shared" si="32"/>
        <v>弟弟/寄信/這/去/這/郵局</v>
      </c>
      <c r="W393" s="13" t="str">
        <f t="shared" si="33"/>
        <v>是</v>
      </c>
      <c r="X393" s="13" t="str">
        <f t="shared" si="34"/>
        <v>通過</v>
      </c>
    </row>
    <row r="394" spans="1:24" ht="34" customHeight="1">
      <c r="A394" s="11" t="s">
        <v>2350</v>
      </c>
      <c r="B394" s="11" t="s">
        <v>2350</v>
      </c>
      <c r="C394" s="11" t="s">
        <v>54</v>
      </c>
      <c r="D394" s="11" t="s">
        <v>2351</v>
      </c>
      <c r="E394" s="11" t="s">
        <v>2352</v>
      </c>
      <c r="F394" s="11" t="s">
        <v>2353</v>
      </c>
      <c r="G394" s="11" t="s">
        <v>58</v>
      </c>
      <c r="H394" s="11" t="s">
        <v>2354</v>
      </c>
      <c r="I394" s="11" t="s">
        <v>2355</v>
      </c>
      <c r="J394" s="12" t="s">
        <v>8</v>
      </c>
      <c r="K394" s="12"/>
      <c r="L394" s="12"/>
      <c r="M394" s="12"/>
      <c r="N394" s="12"/>
      <c r="O394" s="12" t="s">
        <v>60</v>
      </c>
      <c r="P394" s="12"/>
      <c r="Q394" s="12"/>
      <c r="R394" s="12"/>
      <c r="S394" s="12"/>
      <c r="T394" s="13" t="str">
        <f t="shared" si="30"/>
        <v>通過</v>
      </c>
      <c r="U394" s="13" t="str">
        <f t="shared" si="31"/>
        <v>每天練習就會進步</v>
      </c>
      <c r="V394" s="13" t="str">
        <f t="shared" si="32"/>
        <v>每天/練習/進步/會</v>
      </c>
      <c r="W394" s="13" t="str">
        <f t="shared" si="33"/>
        <v>是</v>
      </c>
      <c r="X394" s="13" t="str">
        <f t="shared" si="34"/>
        <v>通過</v>
      </c>
    </row>
    <row r="395" spans="1:24" ht="34" customHeight="1">
      <c r="A395" s="11" t="s">
        <v>2356</v>
      </c>
      <c r="B395" s="11" t="s">
        <v>2356</v>
      </c>
      <c r="C395" s="11" t="s">
        <v>54</v>
      </c>
      <c r="D395" s="11" t="s">
        <v>2357</v>
      </c>
      <c r="E395" s="11" t="s">
        <v>2358</v>
      </c>
      <c r="F395" s="11" t="s">
        <v>2359</v>
      </c>
      <c r="G395" s="11" t="s">
        <v>58</v>
      </c>
      <c r="H395" s="11" t="s">
        <v>2360</v>
      </c>
      <c r="I395" s="11" t="s">
        <v>2361</v>
      </c>
      <c r="J395" s="12" t="s">
        <v>8</v>
      </c>
      <c r="K395" s="12"/>
      <c r="L395" s="12"/>
      <c r="M395" s="12"/>
      <c r="N395" s="12"/>
      <c r="O395" s="12" t="s">
        <v>60</v>
      </c>
      <c r="P395" s="12"/>
      <c r="Q395" s="12"/>
      <c r="R395" s="12"/>
      <c r="S395" s="12"/>
      <c r="T395" s="13" t="str">
        <f t="shared" si="30"/>
        <v>通過</v>
      </c>
      <c r="U395" s="13" t="str">
        <f t="shared" si="31"/>
        <v>我需要做比賽前的準備</v>
      </c>
      <c r="V395" s="13" t="str">
        <f t="shared" si="32"/>
        <v>比賽/我/準備/要</v>
      </c>
      <c r="W395" s="13" t="str">
        <f t="shared" si="33"/>
        <v>是</v>
      </c>
      <c r="X395" s="13" t="str">
        <f t="shared" si="34"/>
        <v>通過</v>
      </c>
    </row>
    <row r="396" spans="1:24" ht="34" customHeight="1">
      <c r="A396" s="11" t="s">
        <v>2362</v>
      </c>
      <c r="B396" s="11" t="s">
        <v>2362</v>
      </c>
      <c r="C396" s="11" t="s">
        <v>54</v>
      </c>
      <c r="D396" s="11" t="s">
        <v>2363</v>
      </c>
      <c r="E396" s="11" t="s">
        <v>2364</v>
      </c>
      <c r="F396" s="11" t="s">
        <v>2365</v>
      </c>
      <c r="G396" s="11" t="s">
        <v>58</v>
      </c>
      <c r="H396" s="11" t="s">
        <v>2366</v>
      </c>
      <c r="I396" s="11" t="s">
        <v>2367</v>
      </c>
      <c r="J396" s="12" t="s">
        <v>8</v>
      </c>
      <c r="K396" s="12"/>
      <c r="L396" s="12"/>
      <c r="M396" s="12"/>
      <c r="N396" s="12"/>
      <c r="O396" s="12" t="s">
        <v>60</v>
      </c>
      <c r="P396" s="12"/>
      <c r="Q396" s="12"/>
      <c r="R396" s="12"/>
      <c r="S396" s="12"/>
      <c r="T396" s="13" t="str">
        <f t="shared" si="30"/>
        <v>通過</v>
      </c>
      <c r="U396" s="13" t="str">
        <f t="shared" si="31"/>
        <v>他解決了這道數學問題</v>
      </c>
      <c r="V396" s="13" t="str">
        <f t="shared" si="32"/>
        <v>這/數學/問題/他/解決/行</v>
      </c>
      <c r="W396" s="13" t="str">
        <f t="shared" si="33"/>
        <v>是</v>
      </c>
      <c r="X396" s="13" t="str">
        <f t="shared" si="34"/>
        <v>通過</v>
      </c>
    </row>
    <row r="397" spans="1:24" ht="34" customHeight="1">
      <c r="A397" s="11" t="s">
        <v>2368</v>
      </c>
      <c r="B397" s="11" t="s">
        <v>2368</v>
      </c>
      <c r="C397" s="11" t="s">
        <v>54</v>
      </c>
      <c r="D397" s="11" t="s">
        <v>2363</v>
      </c>
      <c r="E397" s="11" t="s">
        <v>2369</v>
      </c>
      <c r="F397" s="11" t="s">
        <v>2370</v>
      </c>
      <c r="G397" s="11" t="s">
        <v>58</v>
      </c>
      <c r="H397" s="11" t="s">
        <v>2371</v>
      </c>
      <c r="I397" s="11" t="s">
        <v>2372</v>
      </c>
      <c r="J397" s="12" t="s">
        <v>8</v>
      </c>
      <c r="K397" s="12"/>
      <c r="L397" s="12"/>
      <c r="M397" s="12"/>
      <c r="N397" s="12"/>
      <c r="O397" s="12" t="s">
        <v>60</v>
      </c>
      <c r="P397" s="12"/>
      <c r="Q397" s="12"/>
      <c r="R397" s="12"/>
      <c r="S397" s="12"/>
      <c r="T397" s="13" t="str">
        <f t="shared" si="30"/>
        <v>通過</v>
      </c>
      <c r="U397" s="13" t="str">
        <f t="shared" si="31"/>
        <v>沒有解決不了的問題</v>
      </c>
      <c r="V397" s="13" t="str">
        <f t="shared" si="32"/>
        <v>問題/一筆勾銷/難/沒有</v>
      </c>
      <c r="W397" s="13" t="str">
        <f t="shared" si="33"/>
        <v>是</v>
      </c>
      <c r="X397" s="13" t="str">
        <f t="shared" si="34"/>
        <v>通過</v>
      </c>
    </row>
    <row r="398" spans="1:24" ht="34" customHeight="1">
      <c r="A398" s="11" t="s">
        <v>2373</v>
      </c>
      <c r="B398" s="11" t="s">
        <v>2373</v>
      </c>
      <c r="C398" s="11" t="s">
        <v>54</v>
      </c>
      <c r="D398" s="11" t="s">
        <v>2374</v>
      </c>
      <c r="E398" s="11" t="s">
        <v>2375</v>
      </c>
      <c r="F398" s="11" t="s">
        <v>2376</v>
      </c>
      <c r="G398" s="11" t="s">
        <v>58</v>
      </c>
      <c r="H398" s="11" t="s">
        <v>2377</v>
      </c>
      <c r="I398" s="11" t="s">
        <v>2378</v>
      </c>
      <c r="J398" s="12" t="s">
        <v>8</v>
      </c>
      <c r="K398" s="12"/>
      <c r="L398" s="12"/>
      <c r="M398" s="12"/>
      <c r="N398" s="12"/>
      <c r="O398" s="12" t="s">
        <v>60</v>
      </c>
      <c r="P398" s="12"/>
      <c r="Q398" s="12"/>
      <c r="R398" s="12"/>
      <c r="S398" s="12"/>
      <c r="T398" s="13" t="str">
        <f t="shared" si="30"/>
        <v>通過</v>
      </c>
      <c r="U398" s="13" t="str">
        <f t="shared" si="31"/>
        <v>這個節目很好看</v>
      </c>
      <c r="V398" s="13" t="str">
        <f t="shared" si="32"/>
        <v>這/節目/看/棒</v>
      </c>
      <c r="W398" s="13" t="str">
        <f t="shared" si="33"/>
        <v>是</v>
      </c>
      <c r="X398" s="13" t="str">
        <f t="shared" si="34"/>
        <v>通過</v>
      </c>
    </row>
    <row r="399" spans="1:24" ht="34" customHeight="1">
      <c r="A399" s="11" t="s">
        <v>2379</v>
      </c>
      <c r="B399" s="11" t="s">
        <v>2379</v>
      </c>
      <c r="C399" s="11" t="s">
        <v>54</v>
      </c>
      <c r="D399" s="11" t="s">
        <v>2380</v>
      </c>
      <c r="E399" s="11" t="s">
        <v>2381</v>
      </c>
      <c r="F399" s="11" t="s">
        <v>2382</v>
      </c>
      <c r="G399" s="11" t="s">
        <v>58</v>
      </c>
      <c r="H399" s="11" t="s">
        <v>2383</v>
      </c>
      <c r="I399" s="11" t="s">
        <v>2384</v>
      </c>
      <c r="J399" s="12" t="s">
        <v>8</v>
      </c>
      <c r="K399" s="12"/>
      <c r="L399" s="12"/>
      <c r="M399" s="12"/>
      <c r="N399" s="12"/>
      <c r="O399" s="12" t="s">
        <v>60</v>
      </c>
      <c r="P399" s="12"/>
      <c r="Q399" s="12"/>
      <c r="R399" s="12"/>
      <c r="S399" s="12"/>
      <c r="T399" s="13" t="str">
        <f t="shared" si="30"/>
        <v>通過</v>
      </c>
      <c r="U399" s="13" t="str">
        <f t="shared" si="31"/>
        <v>他的中文進步很多</v>
      </c>
      <c r="V399" s="13" t="str">
        <f t="shared" si="32"/>
        <v>他/中文/進步</v>
      </c>
      <c r="W399" s="13" t="str">
        <f t="shared" si="33"/>
        <v>是</v>
      </c>
      <c r="X399" s="13" t="str">
        <f t="shared" si="34"/>
        <v>通過</v>
      </c>
    </row>
    <row r="400" spans="1:24" ht="34" customHeight="1">
      <c r="A400" s="11" t="s">
        <v>2385</v>
      </c>
      <c r="B400" s="11" t="s">
        <v>2385</v>
      </c>
      <c r="C400" s="11" t="s">
        <v>54</v>
      </c>
      <c r="D400" s="11" t="s">
        <v>2386</v>
      </c>
      <c r="E400" s="11" t="s">
        <v>2387</v>
      </c>
      <c r="F400" s="11" t="s">
        <v>2388</v>
      </c>
      <c r="G400" s="11" t="s">
        <v>58</v>
      </c>
      <c r="H400" s="11" t="s">
        <v>2389</v>
      </c>
      <c r="I400" s="11" t="s">
        <v>2390</v>
      </c>
      <c r="J400" s="12" t="s">
        <v>8</v>
      </c>
      <c r="K400" s="12"/>
      <c r="L400" s="12"/>
      <c r="M400" s="12"/>
      <c r="N400" s="12"/>
      <c r="O400" s="12" t="s">
        <v>60</v>
      </c>
      <c r="P400" s="12"/>
      <c r="Q400" s="12"/>
      <c r="R400" s="12"/>
      <c r="S400" s="12"/>
      <c r="T400" s="13" t="str">
        <f t="shared" si="30"/>
        <v>通過</v>
      </c>
      <c r="U400" s="13" t="str">
        <f t="shared" si="31"/>
        <v>老舊建築必須保留原狀</v>
      </c>
      <c r="V400" s="13" t="str">
        <f t="shared" si="32"/>
        <v>大樓/舊/古/保護/依然/一樣</v>
      </c>
      <c r="W400" s="13" t="str">
        <f t="shared" si="33"/>
        <v>是</v>
      </c>
      <c r="X400" s="13" t="str">
        <f t="shared" si="34"/>
        <v>通過</v>
      </c>
    </row>
    <row r="401" spans="1:24" ht="34" customHeight="1">
      <c r="A401" s="11" t="s">
        <v>2391</v>
      </c>
      <c r="B401" s="11" t="s">
        <v>2391</v>
      </c>
      <c r="C401" s="11" t="s">
        <v>54</v>
      </c>
      <c r="D401" s="11" t="s">
        <v>2392</v>
      </c>
      <c r="E401" s="11" t="s">
        <v>2393</v>
      </c>
      <c r="F401" s="11" t="s">
        <v>2394</v>
      </c>
      <c r="G401" s="11" t="s">
        <v>58</v>
      </c>
      <c r="H401" s="11" t="s">
        <v>2395</v>
      </c>
      <c r="I401" s="11" t="s">
        <v>2396</v>
      </c>
      <c r="J401" s="12" t="s">
        <v>8</v>
      </c>
      <c r="K401" s="12"/>
      <c r="L401" s="12"/>
      <c r="M401" s="12"/>
      <c r="N401" s="12"/>
      <c r="O401" s="12" t="s">
        <v>60</v>
      </c>
      <c r="P401" s="12"/>
      <c r="Q401" s="12"/>
      <c r="R401" s="12"/>
      <c r="S401" s="12"/>
      <c r="T401" s="13" t="str">
        <f t="shared" si="30"/>
        <v>通過</v>
      </c>
      <c r="U401" s="13" t="str">
        <f t="shared" si="31"/>
        <v>他把我拉過去</v>
      </c>
      <c r="V401" s="13" t="str">
        <f t="shared" si="32"/>
        <v>他/拉我</v>
      </c>
      <c r="W401" s="13" t="str">
        <f t="shared" si="33"/>
        <v>是</v>
      </c>
      <c r="X401" s="13" t="str">
        <f t="shared" si="34"/>
        <v>通過</v>
      </c>
    </row>
    <row r="402" spans="1:24" ht="34" customHeight="1">
      <c r="A402" s="11" t="s">
        <v>2397</v>
      </c>
      <c r="B402" s="11" t="s">
        <v>2397</v>
      </c>
      <c r="C402" s="11" t="s">
        <v>54</v>
      </c>
      <c r="D402" s="11" t="s">
        <v>2398</v>
      </c>
      <c r="E402" s="11" t="s">
        <v>2399</v>
      </c>
      <c r="F402" s="11" t="s">
        <v>2400</v>
      </c>
      <c r="G402" s="11" t="s">
        <v>58</v>
      </c>
      <c r="H402" s="11" t="s">
        <v>2401</v>
      </c>
      <c r="I402" s="11" t="s">
        <v>2402</v>
      </c>
      <c r="J402" s="12" t="s">
        <v>8</v>
      </c>
      <c r="K402" s="12"/>
      <c r="L402" s="12"/>
      <c r="M402" s="12"/>
      <c r="N402" s="12"/>
      <c r="O402" s="12" t="s">
        <v>60</v>
      </c>
      <c r="P402" s="12"/>
      <c r="Q402" s="12"/>
      <c r="R402" s="12"/>
      <c r="S402" s="12"/>
      <c r="T402" s="13" t="str">
        <f t="shared" si="30"/>
        <v>通過</v>
      </c>
      <c r="U402" s="13" t="str">
        <f t="shared" si="31"/>
        <v>他推我下去池子裡</v>
      </c>
      <c r="V402" s="13" t="str">
        <f t="shared" si="32"/>
        <v>池/這/池/他/我/他/我/他/推</v>
      </c>
      <c r="W402" s="13" t="str">
        <f t="shared" si="33"/>
        <v>是</v>
      </c>
      <c r="X402" s="13" t="str">
        <f t="shared" si="34"/>
        <v>通過</v>
      </c>
    </row>
    <row r="403" spans="1:24" ht="34" customHeight="1">
      <c r="A403" s="11" t="s">
        <v>2403</v>
      </c>
      <c r="B403" s="11" t="s">
        <v>2403</v>
      </c>
      <c r="C403" s="11" t="s">
        <v>54</v>
      </c>
      <c r="D403" s="11" t="s">
        <v>2404</v>
      </c>
      <c r="E403" s="11" t="s">
        <v>2034</v>
      </c>
      <c r="F403" s="11" t="s">
        <v>2405</v>
      </c>
      <c r="G403" s="11" t="s">
        <v>58</v>
      </c>
      <c r="H403" s="11" t="s">
        <v>2406</v>
      </c>
      <c r="I403" s="11" t="s">
        <v>2407</v>
      </c>
      <c r="J403" s="12" t="s">
        <v>8</v>
      </c>
      <c r="K403" s="12"/>
      <c r="L403" s="12"/>
      <c r="M403" s="12"/>
      <c r="N403" s="12"/>
      <c r="O403" s="12" t="s">
        <v>60</v>
      </c>
      <c r="P403" s="12"/>
      <c r="Q403" s="12"/>
      <c r="R403" s="12"/>
      <c r="S403" s="12"/>
      <c r="T403" s="13" t="str">
        <f t="shared" si="30"/>
        <v>通過</v>
      </c>
      <c r="U403" s="13" t="str">
        <f t="shared" si="31"/>
        <v>看電影時請保持安靜</v>
      </c>
      <c r="V403" s="13" t="str">
        <f t="shared" si="32"/>
        <v>電影/看/講/安靜/依然</v>
      </c>
      <c r="W403" s="13" t="str">
        <f t="shared" si="33"/>
        <v>是</v>
      </c>
      <c r="X403" s="13" t="str">
        <f t="shared" si="34"/>
        <v>通過</v>
      </c>
    </row>
    <row r="404" spans="1:24" ht="34" customHeight="1">
      <c r="A404" s="11" t="s">
        <v>2408</v>
      </c>
      <c r="B404" s="11" t="s">
        <v>2408</v>
      </c>
      <c r="C404" s="11" t="s">
        <v>54</v>
      </c>
      <c r="D404" s="11" t="s">
        <v>2409</v>
      </c>
      <c r="E404" s="11" t="s">
        <v>2410</v>
      </c>
      <c r="F404" s="11" t="s">
        <v>2411</v>
      </c>
      <c r="G404" s="11" t="s">
        <v>58</v>
      </c>
      <c r="H404" s="11" t="s">
        <v>2412</v>
      </c>
      <c r="I404" s="11" t="s">
        <v>2413</v>
      </c>
      <c r="J404" s="12" t="s">
        <v>8</v>
      </c>
      <c r="K404" s="12"/>
      <c r="L404" s="12"/>
      <c r="M404" s="12"/>
      <c r="N404" s="12"/>
      <c r="O404" s="12" t="s">
        <v>60</v>
      </c>
      <c r="P404" s="12"/>
      <c r="Q404" s="12"/>
      <c r="R404" s="12"/>
      <c r="S404" s="12"/>
      <c r="T404" s="13" t="str">
        <f t="shared" si="30"/>
        <v>通過</v>
      </c>
      <c r="U404" s="13" t="str">
        <f t="shared" si="31"/>
        <v>外面下雨了</v>
      </c>
      <c r="V404" s="13" t="str">
        <f t="shared" si="32"/>
        <v>外面/下雨</v>
      </c>
      <c r="W404" s="13" t="str">
        <f t="shared" si="33"/>
        <v>是</v>
      </c>
      <c r="X404" s="13" t="str">
        <f t="shared" si="34"/>
        <v>通過</v>
      </c>
    </row>
    <row r="405" spans="1:24" ht="34" customHeight="1">
      <c r="A405" s="11" t="s">
        <v>2414</v>
      </c>
      <c r="B405" s="11" t="s">
        <v>2414</v>
      </c>
      <c r="C405" s="11" t="s">
        <v>54</v>
      </c>
      <c r="D405" s="11" t="s">
        <v>2409</v>
      </c>
      <c r="E405" s="11" t="s">
        <v>2415</v>
      </c>
      <c r="F405" s="11" t="s">
        <v>2416</v>
      </c>
      <c r="G405" s="11" t="s">
        <v>58</v>
      </c>
      <c r="H405" s="11" t="s">
        <v>2417</v>
      </c>
      <c r="I405" s="11" t="s">
        <v>2418</v>
      </c>
      <c r="J405" s="12" t="s">
        <v>8</v>
      </c>
      <c r="K405" s="12"/>
      <c r="L405" s="12"/>
      <c r="M405" s="12"/>
      <c r="N405" s="12"/>
      <c r="O405" s="12" t="s">
        <v>60</v>
      </c>
      <c r="P405" s="12"/>
      <c r="Q405" s="12"/>
      <c r="R405" s="12"/>
      <c r="S405" s="12"/>
      <c r="T405" s="13" t="str">
        <f t="shared" si="30"/>
        <v>通過</v>
      </c>
      <c r="U405" s="13" t="str">
        <f t="shared" si="31"/>
        <v>下雨不能出門</v>
      </c>
      <c r="V405" s="13" t="str">
        <f t="shared" si="32"/>
        <v>下雨/出/不能</v>
      </c>
      <c r="W405" s="13" t="str">
        <f t="shared" si="33"/>
        <v>是</v>
      </c>
      <c r="X405" s="13" t="str">
        <f t="shared" si="34"/>
        <v>通過</v>
      </c>
    </row>
    <row r="406" spans="1:24" ht="34" customHeight="1">
      <c r="A406" s="11" t="s">
        <v>2419</v>
      </c>
      <c r="B406" s="11" t="s">
        <v>2419</v>
      </c>
      <c r="C406" s="11" t="s">
        <v>54</v>
      </c>
      <c r="D406" s="11" t="s">
        <v>2420</v>
      </c>
      <c r="E406" s="11" t="s">
        <v>2421</v>
      </c>
      <c r="F406" s="11" t="s">
        <v>2422</v>
      </c>
      <c r="G406" s="11" t="s">
        <v>58</v>
      </c>
      <c r="H406" s="11" t="s">
        <v>2423</v>
      </c>
      <c r="I406" s="11" t="s">
        <v>2424</v>
      </c>
      <c r="J406" s="12" t="s">
        <v>8</v>
      </c>
      <c r="K406" s="12"/>
      <c r="L406" s="12"/>
      <c r="M406" s="12"/>
      <c r="N406" s="12"/>
      <c r="O406" s="12" t="s">
        <v>60</v>
      </c>
      <c r="P406" s="12"/>
      <c r="Q406" s="12"/>
      <c r="R406" s="12"/>
      <c r="S406" s="12"/>
      <c r="T406" s="13" t="str">
        <f t="shared" si="30"/>
        <v>通過</v>
      </c>
      <c r="U406" s="13" t="str">
        <f t="shared" si="31"/>
        <v>盒子裡的老照片是珍貴的回憶</v>
      </c>
      <c r="V406" s="13" t="str">
        <f t="shared" si="32"/>
        <v>盒子/這/舊/古老/照片/珍惜/保護/以前</v>
      </c>
      <c r="W406" s="13" t="str">
        <f t="shared" si="33"/>
        <v>是</v>
      </c>
      <c r="X406" s="13" t="str">
        <f t="shared" si="34"/>
        <v>通過</v>
      </c>
    </row>
    <row r="407" spans="1:24" ht="34" customHeight="1">
      <c r="A407" s="11" t="s">
        <v>2425</v>
      </c>
      <c r="B407" s="11" t="s">
        <v>2425</v>
      </c>
      <c r="C407" s="11" t="s">
        <v>54</v>
      </c>
      <c r="D407" s="11" t="s">
        <v>2426</v>
      </c>
      <c r="E407" s="11" t="s">
        <v>2427</v>
      </c>
      <c r="F407" s="11" t="s">
        <v>2428</v>
      </c>
      <c r="G407" s="11" t="s">
        <v>58</v>
      </c>
      <c r="H407" s="11" t="s">
        <v>2429</v>
      </c>
      <c r="I407" s="11" t="s">
        <v>2430</v>
      </c>
      <c r="J407" s="12" t="s">
        <v>8</v>
      </c>
      <c r="K407" s="12"/>
      <c r="L407" s="12"/>
      <c r="M407" s="12"/>
      <c r="N407" s="12"/>
      <c r="O407" s="12" t="s">
        <v>60</v>
      </c>
      <c r="P407" s="12"/>
      <c r="Q407" s="12"/>
      <c r="R407" s="12"/>
      <c r="S407" s="12"/>
      <c r="T407" s="13" t="str">
        <f t="shared" si="30"/>
        <v>通過</v>
      </c>
      <c r="U407" s="13" t="str">
        <f t="shared" si="31"/>
        <v>我最近買了一部電腦</v>
      </c>
      <c r="V407" s="13" t="str">
        <f t="shared" si="32"/>
        <v>電腦/我/過去的最近/買</v>
      </c>
      <c r="W407" s="13" t="str">
        <f t="shared" si="33"/>
        <v>是</v>
      </c>
      <c r="X407" s="13" t="str">
        <f t="shared" si="34"/>
        <v>通過</v>
      </c>
    </row>
    <row r="408" spans="1:24" ht="34" customHeight="1">
      <c r="A408" s="11" t="s">
        <v>2431</v>
      </c>
      <c r="B408" s="11" t="s">
        <v>2431</v>
      </c>
      <c r="C408" s="11" t="s">
        <v>54</v>
      </c>
      <c r="D408" s="11" t="s">
        <v>2432</v>
      </c>
      <c r="E408" s="11" t="s">
        <v>2433</v>
      </c>
      <c r="F408" s="11" t="s">
        <v>2434</v>
      </c>
      <c r="G408" s="11" t="s">
        <v>58</v>
      </c>
      <c r="H408" s="11" t="s">
        <v>2435</v>
      </c>
      <c r="I408" s="11" t="s">
        <v>2436</v>
      </c>
      <c r="J408" s="12" t="s">
        <v>8</v>
      </c>
      <c r="K408" s="12"/>
      <c r="L408" s="12"/>
      <c r="M408" s="12"/>
      <c r="N408" s="12"/>
      <c r="O408" s="12" t="s">
        <v>60</v>
      </c>
      <c r="P408" s="12"/>
      <c r="Q408" s="12"/>
      <c r="R408" s="12"/>
      <c r="S408" s="12"/>
      <c r="T408" s="13" t="str">
        <f t="shared" si="30"/>
        <v>通過</v>
      </c>
      <c r="U408" s="13" t="str">
        <f t="shared" si="31"/>
        <v>所有動物的血都是紅色的，是吧?</v>
      </c>
      <c r="V408" s="13" t="str">
        <f t="shared" si="32"/>
        <v>動物/這些/紅/血/全部/紅/是</v>
      </c>
      <c r="W408" s="13" t="str">
        <f t="shared" si="33"/>
        <v>是</v>
      </c>
      <c r="X408" s="13" t="str">
        <f t="shared" si="34"/>
        <v>通過</v>
      </c>
    </row>
    <row r="409" spans="1:24" ht="34" customHeight="1">
      <c r="A409" s="11" t="s">
        <v>2437</v>
      </c>
      <c r="B409" s="11" t="s">
        <v>2437</v>
      </c>
      <c r="C409" s="11" t="s">
        <v>54</v>
      </c>
      <c r="D409" s="11" t="s">
        <v>2438</v>
      </c>
      <c r="E409" s="11" t="s">
        <v>2439</v>
      </c>
      <c r="F409" s="11" t="s">
        <v>2440</v>
      </c>
      <c r="G409" s="11" t="s">
        <v>58</v>
      </c>
      <c r="H409" s="11" t="s">
        <v>2441</v>
      </c>
      <c r="I409" s="11" t="s">
        <v>2442</v>
      </c>
      <c r="J409" s="12" t="s">
        <v>8</v>
      </c>
      <c r="K409" s="12"/>
      <c r="L409" s="12"/>
      <c r="M409" s="12"/>
      <c r="N409" s="12"/>
      <c r="O409" s="12" t="s">
        <v>60</v>
      </c>
      <c r="P409" s="12"/>
      <c r="Q409" s="12"/>
      <c r="R409" s="12"/>
      <c r="S409" s="12"/>
      <c r="T409" s="13" t="str">
        <f t="shared" si="30"/>
        <v>通過</v>
      </c>
      <c r="U409" s="13" t="str">
        <f t="shared" si="31"/>
        <v>媽媽把紙條貼在冰箱上</v>
      </c>
      <c r="V409" s="13" t="str">
        <f t="shared" si="32"/>
        <v>媽媽/紙/寫/冰箱/貼上</v>
      </c>
      <c r="W409" s="13" t="str">
        <f t="shared" si="33"/>
        <v>是</v>
      </c>
      <c r="X409" s="13" t="str">
        <f t="shared" si="34"/>
        <v>通過</v>
      </c>
    </row>
    <row r="410" spans="1:24" ht="34" customHeight="1">
      <c r="A410" s="11" t="s">
        <v>2443</v>
      </c>
      <c r="B410" s="11" t="s">
        <v>2443</v>
      </c>
      <c r="C410" s="11" t="s">
        <v>54</v>
      </c>
      <c r="D410" s="11" t="s">
        <v>2444</v>
      </c>
      <c r="E410" s="11" t="s">
        <v>2445</v>
      </c>
      <c r="F410" s="11" t="s">
        <v>2446</v>
      </c>
      <c r="G410" s="11" t="s">
        <v>58</v>
      </c>
      <c r="H410" s="11" t="s">
        <v>2447</v>
      </c>
      <c r="I410" s="11" t="s">
        <v>2448</v>
      </c>
      <c r="J410" s="12" t="s">
        <v>8</v>
      </c>
      <c r="K410" s="12"/>
      <c r="L410" s="12"/>
      <c r="M410" s="12"/>
      <c r="N410" s="12"/>
      <c r="O410" s="12" t="s">
        <v>60</v>
      </c>
      <c r="P410" s="12"/>
      <c r="Q410" s="12"/>
      <c r="R410" s="12"/>
      <c r="S410" s="12"/>
      <c r="T410" s="13" t="str">
        <f t="shared" si="30"/>
        <v>通過</v>
      </c>
      <c r="U410" s="13" t="str">
        <f t="shared" si="31"/>
        <v>全台灣的人民都想阻擋新冠狀病毒散播</v>
      </c>
      <c r="V410" s="13" t="str">
        <f t="shared" si="32"/>
        <v>台灣/全台灣/心/一樣/想/一樣/什麼/這/新冠狀病毒/傳播/這/擋</v>
      </c>
      <c r="W410" s="13" t="str">
        <f t="shared" si="33"/>
        <v>是</v>
      </c>
      <c r="X410" s="13" t="str">
        <f t="shared" si="34"/>
        <v>通過</v>
      </c>
    </row>
    <row r="411" spans="1:24" ht="34" customHeight="1">
      <c r="A411" s="11" t="s">
        <v>2449</v>
      </c>
      <c r="B411" s="11" t="s">
        <v>2449</v>
      </c>
      <c r="C411" s="11" t="s">
        <v>54</v>
      </c>
      <c r="D411" s="11" t="s">
        <v>2450</v>
      </c>
      <c r="E411" s="11" t="s">
        <v>2451</v>
      </c>
      <c r="F411" s="11" t="s">
        <v>2452</v>
      </c>
      <c r="G411" s="11" t="s">
        <v>58</v>
      </c>
      <c r="H411" s="11" t="s">
        <v>2453</v>
      </c>
      <c r="I411" s="11" t="s">
        <v>2454</v>
      </c>
      <c r="J411" s="12" t="s">
        <v>8</v>
      </c>
      <c r="K411" s="12"/>
      <c r="L411" s="12"/>
      <c r="M411" s="12"/>
      <c r="N411" s="12"/>
      <c r="O411" s="12" t="s">
        <v>60</v>
      </c>
      <c r="P411" s="12"/>
      <c r="Q411" s="12"/>
      <c r="R411" s="12"/>
      <c r="S411" s="12"/>
      <c r="T411" s="13" t="str">
        <f t="shared" si="30"/>
        <v>通過</v>
      </c>
      <c r="U411" s="13" t="str">
        <f t="shared" si="31"/>
        <v>這家餐廳生意很好</v>
      </c>
      <c r="V411" s="13" t="str">
        <f t="shared" si="32"/>
        <v>這/餐廳/人/湧入/棒</v>
      </c>
      <c r="W411" s="13" t="str">
        <f t="shared" si="33"/>
        <v>是</v>
      </c>
      <c r="X411" s="13" t="str">
        <f t="shared" si="34"/>
        <v>通過</v>
      </c>
    </row>
    <row r="412" spans="1:24" ht="34" customHeight="1">
      <c r="A412" s="11" t="s">
        <v>2455</v>
      </c>
      <c r="B412" s="11" t="s">
        <v>2455</v>
      </c>
      <c r="C412" s="11" t="s">
        <v>54</v>
      </c>
      <c r="D412" s="11" t="s">
        <v>2456</v>
      </c>
      <c r="E412" s="11" t="s">
        <v>2457</v>
      </c>
      <c r="F412" s="11" t="s">
        <v>2458</v>
      </c>
      <c r="G412" s="11" t="s">
        <v>58</v>
      </c>
      <c r="H412" s="11" t="s">
        <v>2459</v>
      </c>
      <c r="I412" s="11" t="s">
        <v>2460</v>
      </c>
      <c r="J412" s="12" t="s">
        <v>8</v>
      </c>
      <c r="K412" s="12"/>
      <c r="L412" s="12"/>
      <c r="M412" s="12"/>
      <c r="N412" s="12"/>
      <c r="O412" s="12" t="s">
        <v>60</v>
      </c>
      <c r="P412" s="12"/>
      <c r="Q412" s="12"/>
      <c r="R412" s="12"/>
      <c r="S412" s="12"/>
      <c r="T412" s="13" t="str">
        <f t="shared" si="30"/>
        <v>通過</v>
      </c>
      <c r="U412" s="13" t="str">
        <f t="shared" si="31"/>
        <v>地球繞著太陽轉</v>
      </c>
      <c r="V412" s="13" t="str">
        <f t="shared" si="32"/>
        <v>太陽/地球/繞著太陽轉</v>
      </c>
      <c r="W412" s="13" t="str">
        <f t="shared" si="33"/>
        <v>是</v>
      </c>
      <c r="X412" s="13" t="str">
        <f t="shared" si="34"/>
        <v>通過</v>
      </c>
    </row>
    <row r="413" spans="1:24" ht="34" customHeight="1">
      <c r="A413" s="11" t="s">
        <v>2461</v>
      </c>
      <c r="B413" s="11" t="s">
        <v>2461</v>
      </c>
      <c r="C413" s="11" t="s">
        <v>54</v>
      </c>
      <c r="D413" s="11" t="s">
        <v>2462</v>
      </c>
      <c r="E413" s="11" t="s">
        <v>2463</v>
      </c>
      <c r="F413" s="11" t="s">
        <v>2464</v>
      </c>
      <c r="G413" s="11" t="s">
        <v>58</v>
      </c>
      <c r="H413" s="11" t="s">
        <v>2465</v>
      </c>
      <c r="I413" s="11" t="s">
        <v>2466</v>
      </c>
      <c r="J413" s="12" t="s">
        <v>8</v>
      </c>
      <c r="K413" s="12"/>
      <c r="L413" s="12"/>
      <c r="M413" s="12"/>
      <c r="N413" s="12"/>
      <c r="O413" s="12" t="s">
        <v>60</v>
      </c>
      <c r="P413" s="12"/>
      <c r="Q413" s="12"/>
      <c r="R413" s="12"/>
      <c r="S413" s="12"/>
      <c r="T413" s="13" t="str">
        <f t="shared" si="30"/>
        <v>通過</v>
      </c>
      <c r="U413" s="13" t="str">
        <f t="shared" si="31"/>
        <v>米是台灣的主食</v>
      </c>
      <c r="V413" s="13" t="str">
        <f t="shared" si="32"/>
        <v>台灣/吃/大部分/什麼/米</v>
      </c>
      <c r="W413" s="13" t="str">
        <f t="shared" si="33"/>
        <v>是</v>
      </c>
      <c r="X413" s="13" t="str">
        <f t="shared" si="34"/>
        <v>通過</v>
      </c>
    </row>
    <row r="414" spans="1:24" ht="34" customHeight="1">
      <c r="A414" s="11" t="s">
        <v>2467</v>
      </c>
      <c r="B414" s="11" t="s">
        <v>2467</v>
      </c>
      <c r="C414" s="11" t="s">
        <v>54</v>
      </c>
      <c r="D414" s="11" t="s">
        <v>2468</v>
      </c>
      <c r="E414" s="11" t="s">
        <v>2469</v>
      </c>
      <c r="F414" s="11" t="s">
        <v>2470</v>
      </c>
      <c r="G414" s="11" t="s">
        <v>58</v>
      </c>
      <c r="H414" s="11" t="s">
        <v>2471</v>
      </c>
      <c r="I414" s="11" t="s">
        <v>2472</v>
      </c>
      <c r="J414" s="12" t="s">
        <v>8</v>
      </c>
      <c r="K414" s="12"/>
      <c r="L414" s="12"/>
      <c r="M414" s="12"/>
      <c r="N414" s="12"/>
      <c r="O414" s="12" t="s">
        <v>60</v>
      </c>
      <c r="P414" s="12"/>
      <c r="Q414" s="12"/>
      <c r="R414" s="12"/>
      <c r="S414" s="12"/>
      <c r="T414" s="13" t="str">
        <f t="shared" si="30"/>
        <v>通過</v>
      </c>
      <c r="U414" s="13" t="str">
        <f t="shared" si="31"/>
        <v>他很有錢，到處亂花</v>
      </c>
      <c r="V414" s="13" t="str">
        <f t="shared" si="32"/>
        <v>他/豐富/有錢/花錢(到處)</v>
      </c>
      <c r="W414" s="13" t="str">
        <f t="shared" si="33"/>
        <v>是</v>
      </c>
      <c r="X414" s="13" t="str">
        <f t="shared" si="34"/>
        <v>通過</v>
      </c>
    </row>
    <row r="415" spans="1:24" ht="34" customHeight="1">
      <c r="A415" s="11" t="s">
        <v>2473</v>
      </c>
      <c r="B415" s="11" t="s">
        <v>2473</v>
      </c>
      <c r="C415" s="11" t="s">
        <v>54</v>
      </c>
      <c r="D415" s="11" t="s">
        <v>2474</v>
      </c>
      <c r="E415" s="11" t="s">
        <v>2475</v>
      </c>
      <c r="F415" s="11" t="s">
        <v>2476</v>
      </c>
      <c r="G415" s="11" t="s">
        <v>58</v>
      </c>
      <c r="H415" s="11" t="s">
        <v>2477</v>
      </c>
      <c r="I415" s="11" t="s">
        <v>2478</v>
      </c>
      <c r="J415" s="12" t="s">
        <v>8</v>
      </c>
      <c r="K415" s="12"/>
      <c r="L415" s="12"/>
      <c r="M415" s="12"/>
      <c r="N415" s="12"/>
      <c r="O415" s="12" t="s">
        <v>60</v>
      </c>
      <c r="P415" s="12"/>
      <c r="Q415" s="12"/>
      <c r="R415" s="12"/>
      <c r="S415" s="12"/>
      <c r="T415" s="13" t="str">
        <f t="shared" si="30"/>
        <v>通過</v>
      </c>
      <c r="U415" s="13" t="str">
        <f t="shared" si="31"/>
        <v>河邊有許多野花</v>
      </c>
      <c r="V415" s="13" t="str">
        <f t="shared" si="32"/>
        <v>河/邊/自/花/開花/多</v>
      </c>
      <c r="W415" s="13" t="str">
        <f t="shared" si="33"/>
        <v>是</v>
      </c>
      <c r="X415" s="13" t="str">
        <f t="shared" si="34"/>
        <v>通過</v>
      </c>
    </row>
    <row r="416" spans="1:24" ht="34" customHeight="1">
      <c r="A416" s="11" t="s">
        <v>2479</v>
      </c>
      <c r="B416" s="11" t="s">
        <v>2479</v>
      </c>
      <c r="C416" s="11" t="s">
        <v>54</v>
      </c>
      <c r="D416" s="11" t="s">
        <v>2480</v>
      </c>
      <c r="E416" s="11" t="s">
        <v>2481</v>
      </c>
      <c r="F416" s="11" t="s">
        <v>2482</v>
      </c>
      <c r="G416" s="11" t="s">
        <v>58</v>
      </c>
      <c r="H416" s="11" t="s">
        <v>2483</v>
      </c>
      <c r="I416" s="11" t="s">
        <v>2484</v>
      </c>
      <c r="J416" s="12" t="s">
        <v>8</v>
      </c>
      <c r="K416" s="12"/>
      <c r="L416" s="12"/>
      <c r="M416" s="12"/>
      <c r="N416" s="12"/>
      <c r="O416" s="12" t="s">
        <v>60</v>
      </c>
      <c r="P416" s="12"/>
      <c r="Q416" s="12"/>
      <c r="R416" s="12"/>
      <c r="S416" s="12"/>
      <c r="T416" s="13" t="str">
        <f t="shared" si="30"/>
        <v>通過</v>
      </c>
      <c r="U416" s="13" t="str">
        <f t="shared" si="31"/>
        <v>這條道路是新的</v>
      </c>
      <c r="V416" s="13" t="str">
        <f t="shared" si="32"/>
        <v>這/道路/這/新/這</v>
      </c>
      <c r="W416" s="13" t="str">
        <f t="shared" si="33"/>
        <v>是</v>
      </c>
      <c r="X416" s="13" t="str">
        <f t="shared" si="34"/>
        <v>通過</v>
      </c>
    </row>
    <row r="417" spans="1:24" ht="34" customHeight="1">
      <c r="A417" s="11" t="s">
        <v>2485</v>
      </c>
      <c r="B417" s="11" t="s">
        <v>2485</v>
      </c>
      <c r="C417" s="11" t="s">
        <v>54</v>
      </c>
      <c r="D417" s="11" t="s">
        <v>2486</v>
      </c>
      <c r="E417" s="11" t="s">
        <v>2487</v>
      </c>
      <c r="F417" s="11" t="s">
        <v>2488</v>
      </c>
      <c r="G417" s="11" t="s">
        <v>58</v>
      </c>
      <c r="H417" s="11" t="s">
        <v>2489</v>
      </c>
      <c r="I417" s="11" t="s">
        <v>2490</v>
      </c>
      <c r="J417" s="12" t="s">
        <v>8</v>
      </c>
      <c r="K417" s="12"/>
      <c r="L417" s="12"/>
      <c r="M417" s="12"/>
      <c r="N417" s="12"/>
      <c r="O417" s="12" t="s">
        <v>60</v>
      </c>
      <c r="P417" s="12"/>
      <c r="Q417" s="12"/>
      <c r="R417" s="12"/>
      <c r="S417" s="12"/>
      <c r="T417" s="13" t="str">
        <f t="shared" si="30"/>
        <v>通過</v>
      </c>
      <c r="U417" s="13" t="str">
        <f t="shared" si="31"/>
        <v>剛剛弟弟跨越了平交道</v>
      </c>
      <c r="V417" s="13" t="str">
        <f t="shared" si="32"/>
        <v>剛剛/平交道/弟弟/剛剛/跨越/走</v>
      </c>
      <c r="W417" s="13" t="str">
        <f t="shared" si="33"/>
        <v>是</v>
      </c>
      <c r="X417" s="13" t="str">
        <f t="shared" si="34"/>
        <v>通過</v>
      </c>
    </row>
    <row r="418" spans="1:24" ht="34" customHeight="1">
      <c r="A418" s="11" t="s">
        <v>2491</v>
      </c>
      <c r="B418" s="11" t="s">
        <v>2491</v>
      </c>
      <c r="C418" s="11" t="s">
        <v>54</v>
      </c>
      <c r="D418" s="11" t="s">
        <v>2492</v>
      </c>
      <c r="E418" s="11" t="s">
        <v>2493</v>
      </c>
      <c r="F418" s="11" t="s">
        <v>2494</v>
      </c>
      <c r="G418" s="11" t="s">
        <v>58</v>
      </c>
      <c r="H418" s="11" t="s">
        <v>2495</v>
      </c>
      <c r="I418" s="11" t="s">
        <v>2496</v>
      </c>
      <c r="J418" s="12" t="s">
        <v>8</v>
      </c>
      <c r="K418" s="12"/>
      <c r="L418" s="12"/>
      <c r="M418" s="12"/>
      <c r="N418" s="12"/>
      <c r="O418" s="12" t="s">
        <v>60</v>
      </c>
      <c r="P418" s="12"/>
      <c r="Q418" s="12"/>
      <c r="R418" s="12"/>
      <c r="S418" s="12"/>
      <c r="T418" s="13" t="str">
        <f t="shared" si="30"/>
        <v>通過</v>
      </c>
      <c r="U418" s="13" t="str">
        <f t="shared" si="31"/>
        <v>妹妹搶了弟弟玩具</v>
      </c>
      <c r="V418" s="13" t="str">
        <f t="shared" si="32"/>
        <v>弟弟/玩/他們倆/妹妹/搶</v>
      </c>
      <c r="W418" s="13" t="str">
        <f t="shared" si="33"/>
        <v>是</v>
      </c>
      <c r="X418" s="13" t="str">
        <f t="shared" si="34"/>
        <v>通過</v>
      </c>
    </row>
    <row r="419" spans="1:24" ht="34" customHeight="1">
      <c r="A419" s="11" t="s">
        <v>2497</v>
      </c>
      <c r="B419" s="11" t="s">
        <v>2497</v>
      </c>
      <c r="C419" s="11" t="s">
        <v>54</v>
      </c>
      <c r="D419" s="11" t="s">
        <v>2498</v>
      </c>
      <c r="E419" s="11" t="s">
        <v>2499</v>
      </c>
      <c r="F419" s="11" t="s">
        <v>2500</v>
      </c>
      <c r="G419" s="11" t="s">
        <v>58</v>
      </c>
      <c r="H419" s="11" t="s">
        <v>2501</v>
      </c>
      <c r="I419" s="11" t="s">
        <v>2502</v>
      </c>
      <c r="J419" s="12" t="s">
        <v>8</v>
      </c>
      <c r="K419" s="12"/>
      <c r="L419" s="12"/>
      <c r="M419" s="12"/>
      <c r="N419" s="12"/>
      <c r="O419" s="12" t="s">
        <v>60</v>
      </c>
      <c r="P419" s="12"/>
      <c r="Q419" s="12"/>
      <c r="R419" s="12"/>
      <c r="S419" s="12"/>
      <c r="T419" s="13" t="str">
        <f t="shared" si="30"/>
        <v>通過</v>
      </c>
      <c r="U419" s="13" t="str">
        <f t="shared" si="31"/>
        <v>每日鹽巴要適中而不過量</v>
      </c>
      <c r="V419" s="13" t="str">
        <f t="shared" si="32"/>
        <v>每天/鹽/中/過/不</v>
      </c>
      <c r="W419" s="13" t="str">
        <f t="shared" si="33"/>
        <v>是</v>
      </c>
      <c r="X419" s="13" t="str">
        <f t="shared" si="34"/>
        <v>通過</v>
      </c>
    </row>
    <row r="420" spans="1:24" ht="34" customHeight="1">
      <c r="A420" s="11" t="s">
        <v>2503</v>
      </c>
      <c r="B420" s="11" t="s">
        <v>2503</v>
      </c>
      <c r="C420" s="11" t="s">
        <v>54</v>
      </c>
      <c r="D420" s="11" t="s">
        <v>2504</v>
      </c>
      <c r="E420" s="11" t="s">
        <v>2505</v>
      </c>
      <c r="F420" s="11" t="s">
        <v>2506</v>
      </c>
      <c r="G420" s="11" t="s">
        <v>58</v>
      </c>
      <c r="H420" s="11" t="s">
        <v>2507</v>
      </c>
      <c r="I420" s="11" t="s">
        <v>2508</v>
      </c>
      <c r="J420" s="12" t="s">
        <v>8</v>
      </c>
      <c r="K420" s="12"/>
      <c r="L420" s="12"/>
      <c r="M420" s="12"/>
      <c r="N420" s="12"/>
      <c r="O420" s="12" t="s">
        <v>60</v>
      </c>
      <c r="P420" s="12"/>
      <c r="Q420" s="12"/>
      <c r="R420" s="12"/>
      <c r="S420" s="12"/>
      <c r="T420" s="13" t="str">
        <f t="shared" si="30"/>
        <v>通過</v>
      </c>
      <c r="U420" s="13" t="str">
        <f t="shared" si="31"/>
        <v>他走了一圈，又回到了原點</v>
      </c>
      <c r="V420" s="13" t="str">
        <f t="shared" si="32"/>
        <v>他/走一圈/這/回/一樣</v>
      </c>
      <c r="W420" s="13" t="str">
        <f t="shared" si="33"/>
        <v>是</v>
      </c>
      <c r="X420" s="13" t="str">
        <f t="shared" si="34"/>
        <v>通過</v>
      </c>
    </row>
    <row r="421" spans="1:24" ht="34" customHeight="1">
      <c r="A421" s="11" t="s">
        <v>2509</v>
      </c>
      <c r="B421" s="11" t="s">
        <v>2509</v>
      </c>
      <c r="C421" s="11" t="s">
        <v>54</v>
      </c>
      <c r="D421" s="11" t="s">
        <v>2504</v>
      </c>
      <c r="E421" s="11" t="s">
        <v>2510</v>
      </c>
      <c r="F421" s="11" t="s">
        <v>2511</v>
      </c>
      <c r="G421" s="11" t="s">
        <v>58</v>
      </c>
      <c r="H421" s="11" t="s">
        <v>2512</v>
      </c>
      <c r="I421" s="11" t="s">
        <v>2513</v>
      </c>
      <c r="J421" s="12" t="s">
        <v>8</v>
      </c>
      <c r="K421" s="12"/>
      <c r="L421" s="12"/>
      <c r="M421" s="12"/>
      <c r="N421" s="12"/>
      <c r="O421" s="12" t="s">
        <v>60</v>
      </c>
      <c r="P421" s="12"/>
      <c r="Q421" s="12"/>
      <c r="R421" s="12"/>
      <c r="S421" s="12"/>
      <c r="T421" s="13" t="str">
        <f t="shared" si="30"/>
        <v>通過</v>
      </c>
      <c r="U421" s="13" t="str">
        <f t="shared" si="31"/>
        <v>他們兄弟長的一樣</v>
      </c>
      <c r="V421" s="13" t="str">
        <f t="shared" si="32"/>
        <v>他倆/哥哥/弟弟/臉/一樣</v>
      </c>
      <c r="W421" s="13" t="str">
        <f t="shared" si="33"/>
        <v>是</v>
      </c>
      <c r="X421" s="13" t="str">
        <f t="shared" si="34"/>
        <v>通過</v>
      </c>
    </row>
    <row r="422" spans="1:24" ht="34" customHeight="1">
      <c r="A422" s="11" t="s">
        <v>2514</v>
      </c>
      <c r="B422" s="11" t="s">
        <v>2515</v>
      </c>
      <c r="C422" s="11" t="s">
        <v>54</v>
      </c>
      <c r="D422" s="11" t="s">
        <v>2516</v>
      </c>
      <c r="E422" s="11" t="s">
        <v>2517</v>
      </c>
      <c r="F422" s="11" t="s">
        <v>2518</v>
      </c>
      <c r="G422" s="11" t="s">
        <v>58</v>
      </c>
      <c r="H422" s="11" t="s">
        <v>2519</v>
      </c>
      <c r="I422" s="11" t="s">
        <v>2520</v>
      </c>
      <c r="J422" s="12" t="s">
        <v>8</v>
      </c>
      <c r="K422" s="12"/>
      <c r="L422" s="12"/>
      <c r="M422" s="12"/>
      <c r="N422" s="12"/>
      <c r="O422" s="12" t="s">
        <v>60</v>
      </c>
      <c r="P422" s="12"/>
      <c r="Q422" s="12"/>
      <c r="R422" s="12"/>
      <c r="S422" s="12"/>
      <c r="T422" s="13" t="str">
        <f t="shared" si="30"/>
        <v>通過</v>
      </c>
      <c r="U422" s="13" t="str">
        <f t="shared" si="31"/>
        <v>從我家到學校很遠</v>
      </c>
      <c r="V422" s="13" t="str">
        <f t="shared" si="32"/>
        <v>學校/我/家/很遠</v>
      </c>
      <c r="W422" s="13" t="str">
        <f t="shared" si="33"/>
        <v>是</v>
      </c>
      <c r="X422" s="13" t="str">
        <f t="shared" si="34"/>
        <v>通過</v>
      </c>
    </row>
    <row r="423" spans="1:24" ht="34" customHeight="1">
      <c r="A423" s="11" t="s">
        <v>2521</v>
      </c>
      <c r="B423" s="11" t="s">
        <v>2521</v>
      </c>
      <c r="C423" s="11" t="s">
        <v>54</v>
      </c>
      <c r="D423" s="11" t="s">
        <v>2516</v>
      </c>
      <c r="E423" s="11" t="s">
        <v>2522</v>
      </c>
      <c r="F423" s="11" t="s">
        <v>2523</v>
      </c>
      <c r="G423" s="11" t="s">
        <v>58</v>
      </c>
      <c r="H423" s="11" t="s">
        <v>2524</v>
      </c>
      <c r="I423" s="11" t="s">
        <v>2525</v>
      </c>
      <c r="J423" s="12" t="s">
        <v>8</v>
      </c>
      <c r="K423" s="12"/>
      <c r="L423" s="12"/>
      <c r="M423" s="12"/>
      <c r="N423" s="12"/>
      <c r="O423" s="12" t="s">
        <v>60</v>
      </c>
      <c r="P423" s="12"/>
      <c r="Q423" s="12"/>
      <c r="R423" s="12"/>
      <c r="S423" s="12"/>
      <c r="T423" s="13" t="str">
        <f t="shared" si="30"/>
        <v>通過</v>
      </c>
      <c r="U423" s="13" t="str">
        <f t="shared" si="31"/>
        <v>這間學校剛蓋好</v>
      </c>
      <c r="V423" s="13" t="str">
        <f t="shared" si="32"/>
        <v>這/學校/建設/剛剛/建設</v>
      </c>
      <c r="W423" s="13" t="str">
        <f t="shared" si="33"/>
        <v>是</v>
      </c>
      <c r="X423" s="13" t="str">
        <f t="shared" si="34"/>
        <v>通過</v>
      </c>
    </row>
    <row r="424" spans="1:24" ht="34" customHeight="1">
      <c r="A424" s="11" t="s">
        <v>2526</v>
      </c>
      <c r="B424" s="11" t="s">
        <v>2526</v>
      </c>
      <c r="C424" s="11" t="s">
        <v>54</v>
      </c>
      <c r="D424" s="11" t="s">
        <v>2527</v>
      </c>
      <c r="E424" s="11" t="s">
        <v>2528</v>
      </c>
      <c r="F424" s="11" t="s">
        <v>2529</v>
      </c>
      <c r="G424" s="11" t="s">
        <v>58</v>
      </c>
      <c r="H424" s="11" t="s">
        <v>2530</v>
      </c>
      <c r="I424" s="11" t="s">
        <v>2531</v>
      </c>
      <c r="J424" s="12" t="s">
        <v>8</v>
      </c>
      <c r="K424" s="12"/>
      <c r="L424" s="12"/>
      <c r="M424" s="12"/>
      <c r="N424" s="12"/>
      <c r="O424" s="12" t="s">
        <v>60</v>
      </c>
      <c r="P424" s="12"/>
      <c r="Q424" s="12"/>
      <c r="R424" s="12"/>
      <c r="S424" s="12"/>
      <c r="T424" s="13" t="str">
        <f t="shared" si="30"/>
        <v>通過</v>
      </c>
      <c r="U424" s="13" t="str">
        <f t="shared" si="31"/>
        <v>媽媽一直罵弟弟</v>
      </c>
      <c r="V424" s="13" t="str">
        <f t="shared" si="32"/>
        <v>弟弟/媽媽/罵</v>
      </c>
      <c r="W424" s="13" t="str">
        <f t="shared" si="33"/>
        <v>是</v>
      </c>
      <c r="X424" s="13" t="str">
        <f t="shared" si="34"/>
        <v>通過</v>
      </c>
    </row>
    <row r="425" spans="1:24" ht="34" customHeight="1">
      <c r="A425" s="11" t="s">
        <v>2532</v>
      </c>
      <c r="B425" s="11" t="s">
        <v>2532</v>
      </c>
      <c r="C425" s="11" t="s">
        <v>54</v>
      </c>
      <c r="D425" s="11" t="s">
        <v>2533</v>
      </c>
      <c r="E425" s="11" t="s">
        <v>2534</v>
      </c>
      <c r="F425" s="11" t="s">
        <v>2535</v>
      </c>
      <c r="G425" s="11" t="s">
        <v>58</v>
      </c>
      <c r="H425" s="11" t="s">
        <v>2536</v>
      </c>
      <c r="I425" s="11" t="s">
        <v>2537</v>
      </c>
      <c r="J425" s="12" t="s">
        <v>8</v>
      </c>
      <c r="K425" s="12"/>
      <c r="L425" s="12"/>
      <c r="M425" s="12"/>
      <c r="N425" s="12"/>
      <c r="O425" s="12" t="s">
        <v>60</v>
      </c>
      <c r="P425" s="12"/>
      <c r="Q425" s="12"/>
      <c r="R425" s="12"/>
      <c r="S425" s="12"/>
      <c r="T425" s="13" t="str">
        <f t="shared" si="30"/>
        <v>通過</v>
      </c>
      <c r="U425" s="13" t="str">
        <f t="shared" si="31"/>
        <v>地球表面的70%由海洋覆蓋</v>
      </c>
      <c r="V425" s="13" t="str">
        <f t="shared" si="32"/>
        <v>地球/百分之七十/海/包</v>
      </c>
      <c r="W425" s="13" t="str">
        <f t="shared" si="33"/>
        <v>是</v>
      </c>
      <c r="X425" s="13" t="str">
        <f t="shared" si="34"/>
        <v>通過</v>
      </c>
    </row>
    <row r="426" spans="1:24" ht="34" customHeight="1">
      <c r="A426" s="11" t="s">
        <v>2538</v>
      </c>
      <c r="B426" s="11" t="s">
        <v>2538</v>
      </c>
      <c r="C426" s="11" t="s">
        <v>54</v>
      </c>
      <c r="D426" s="11" t="s">
        <v>2539</v>
      </c>
      <c r="E426" s="11" t="s">
        <v>2540</v>
      </c>
      <c r="F426" s="11" t="s">
        <v>2541</v>
      </c>
      <c r="G426" s="11" t="s">
        <v>58</v>
      </c>
      <c r="H426" s="11" t="s">
        <v>2542</v>
      </c>
      <c r="I426" s="11" t="s">
        <v>2543</v>
      </c>
      <c r="J426" s="12" t="s">
        <v>8</v>
      </c>
      <c r="K426" s="12"/>
      <c r="L426" s="12"/>
      <c r="M426" s="12"/>
      <c r="N426" s="12"/>
      <c r="O426" s="12" t="s">
        <v>60</v>
      </c>
      <c r="P426" s="12"/>
      <c r="Q426" s="12"/>
      <c r="R426" s="12"/>
      <c r="S426" s="12"/>
      <c r="T426" s="13" t="str">
        <f t="shared" si="30"/>
        <v>通過</v>
      </c>
      <c r="U426" s="13" t="str">
        <f t="shared" si="31"/>
        <v>他瞄了我一眼</v>
      </c>
      <c r="V426" s="13" t="str">
        <f t="shared" si="32"/>
        <v>他/見我</v>
      </c>
      <c r="W426" s="13" t="str">
        <f t="shared" si="33"/>
        <v>是</v>
      </c>
      <c r="X426" s="13" t="str">
        <f t="shared" si="34"/>
        <v>通過</v>
      </c>
    </row>
    <row r="427" spans="1:24" ht="34" customHeight="1">
      <c r="A427" s="11" t="s">
        <v>2544</v>
      </c>
      <c r="B427" s="11" t="s">
        <v>2544</v>
      </c>
      <c r="C427" s="11" t="s">
        <v>54</v>
      </c>
      <c r="D427" s="11" t="s">
        <v>2545</v>
      </c>
      <c r="E427" s="11" t="s">
        <v>2546</v>
      </c>
      <c r="F427" s="11" t="s">
        <v>2547</v>
      </c>
      <c r="G427" s="11" t="s">
        <v>58</v>
      </c>
      <c r="H427" s="11" t="s">
        <v>2548</v>
      </c>
      <c r="I427" s="11" t="s">
        <v>2549</v>
      </c>
      <c r="J427" s="12" t="s">
        <v>8</v>
      </c>
      <c r="K427" s="12"/>
      <c r="L427" s="12"/>
      <c r="M427" s="12"/>
      <c r="N427" s="12"/>
      <c r="O427" s="12" t="s">
        <v>60</v>
      </c>
      <c r="P427" s="12"/>
      <c r="Q427" s="12"/>
      <c r="R427" s="12"/>
      <c r="S427" s="12"/>
      <c r="T427" s="13" t="str">
        <f t="shared" si="30"/>
        <v>通過</v>
      </c>
      <c r="U427" s="13" t="str">
        <f t="shared" si="31"/>
        <v>我自己一個人逛街</v>
      </c>
      <c r="V427" s="13" t="str">
        <f t="shared" si="32"/>
        <v>我/自己/一/去/路/消遣</v>
      </c>
      <c r="W427" s="13" t="str">
        <f t="shared" si="33"/>
        <v>是</v>
      </c>
      <c r="X427" s="13" t="str">
        <f t="shared" si="34"/>
        <v>通過</v>
      </c>
    </row>
    <row r="428" spans="1:24" ht="34" customHeight="1">
      <c r="A428" s="11" t="s">
        <v>2550</v>
      </c>
      <c r="B428" s="11" t="s">
        <v>2550</v>
      </c>
      <c r="C428" s="11" t="s">
        <v>54</v>
      </c>
      <c r="D428" s="11" t="s">
        <v>2551</v>
      </c>
      <c r="E428" s="11" t="s">
        <v>2546</v>
      </c>
      <c r="F428" s="11" t="s">
        <v>2552</v>
      </c>
      <c r="G428" s="11" t="s">
        <v>58</v>
      </c>
      <c r="H428" s="11" t="s">
        <v>2553</v>
      </c>
      <c r="I428" s="11" t="s">
        <v>2554</v>
      </c>
      <c r="J428" s="12" t="s">
        <v>8</v>
      </c>
      <c r="K428" s="12"/>
      <c r="L428" s="12"/>
      <c r="M428" s="12"/>
      <c r="N428" s="12"/>
      <c r="O428" s="12" t="s">
        <v>60</v>
      </c>
      <c r="P428" s="12"/>
      <c r="Q428" s="12"/>
      <c r="R428" s="12"/>
      <c r="S428" s="12"/>
      <c r="T428" s="13" t="str">
        <f t="shared" si="30"/>
        <v>通過</v>
      </c>
      <c r="U428" s="13" t="str">
        <f t="shared" si="31"/>
        <v>我自己一個人逛街</v>
      </c>
      <c r="V428" s="13" t="str">
        <f t="shared" si="32"/>
        <v>我/自己/去/路/消遣</v>
      </c>
      <c r="W428" s="13" t="str">
        <f t="shared" si="33"/>
        <v>是</v>
      </c>
      <c r="X428" s="13" t="str">
        <f t="shared" si="34"/>
        <v>通過</v>
      </c>
    </row>
    <row r="429" spans="1:24" ht="34" customHeight="1">
      <c r="A429" s="11" t="s">
        <v>2555</v>
      </c>
      <c r="B429" s="11" t="s">
        <v>2555</v>
      </c>
      <c r="C429" s="11" t="s">
        <v>54</v>
      </c>
      <c r="D429" s="11" t="s">
        <v>2556</v>
      </c>
      <c r="E429" s="11" t="s">
        <v>2557</v>
      </c>
      <c r="F429" s="11" t="s">
        <v>2558</v>
      </c>
      <c r="G429" s="11" t="s">
        <v>58</v>
      </c>
      <c r="H429" s="11" t="s">
        <v>2559</v>
      </c>
      <c r="I429" s="11" t="s">
        <v>2560</v>
      </c>
      <c r="J429" s="12" t="s">
        <v>8</v>
      </c>
      <c r="K429" s="12"/>
      <c r="L429" s="12"/>
      <c r="M429" s="12"/>
      <c r="N429" s="12"/>
      <c r="O429" s="12" t="s">
        <v>60</v>
      </c>
      <c r="P429" s="12"/>
      <c r="Q429" s="12"/>
      <c r="R429" s="12"/>
      <c r="S429" s="12"/>
      <c r="T429" s="13" t="str">
        <f t="shared" si="30"/>
        <v>通過</v>
      </c>
      <c r="U429" s="13" t="str">
        <f t="shared" si="31"/>
        <v>那棟大樓一層樓要賣一千萬</v>
      </c>
      <c r="V429" s="13" t="str">
        <f t="shared" si="32"/>
        <v>那/大樓/一層/一/賣/一千萬</v>
      </c>
      <c r="W429" s="13" t="str">
        <f t="shared" si="33"/>
        <v>是</v>
      </c>
      <c r="X429" s="13" t="str">
        <f t="shared" si="34"/>
        <v>通過</v>
      </c>
    </row>
    <row r="430" spans="1:24" ht="34" customHeight="1">
      <c r="A430" s="11" t="s">
        <v>2561</v>
      </c>
      <c r="B430" s="11" t="s">
        <v>2561</v>
      </c>
      <c r="C430" s="11" t="s">
        <v>54</v>
      </c>
      <c r="D430" s="11" t="s">
        <v>2556</v>
      </c>
      <c r="E430" s="11" t="s">
        <v>2562</v>
      </c>
      <c r="F430" s="11" t="s">
        <v>2563</v>
      </c>
      <c r="G430" s="11" t="s">
        <v>58</v>
      </c>
      <c r="H430" s="11" t="s">
        <v>2564</v>
      </c>
      <c r="I430" s="11" t="s">
        <v>2565</v>
      </c>
      <c r="J430" s="12" t="s">
        <v>8</v>
      </c>
      <c r="K430" s="12"/>
      <c r="L430" s="12"/>
      <c r="M430" s="12"/>
      <c r="N430" s="12"/>
      <c r="O430" s="12" t="s">
        <v>60</v>
      </c>
      <c r="P430" s="12"/>
      <c r="Q430" s="12"/>
      <c r="R430" s="12"/>
      <c r="S430" s="12"/>
      <c r="T430" s="13" t="str">
        <f t="shared" si="30"/>
        <v>通過</v>
      </c>
      <c r="U430" s="13" t="str">
        <f t="shared" si="31"/>
        <v>他把房子賣了</v>
      </c>
      <c r="V430" s="13" t="str">
        <f t="shared" si="32"/>
        <v>他/房子/賣</v>
      </c>
      <c r="W430" s="13" t="str">
        <f t="shared" si="33"/>
        <v>是</v>
      </c>
      <c r="X430" s="13" t="str">
        <f t="shared" si="34"/>
        <v>通過</v>
      </c>
    </row>
    <row r="431" spans="1:24" ht="34" customHeight="1">
      <c r="A431" s="11" t="s">
        <v>2566</v>
      </c>
      <c r="B431" s="11" t="s">
        <v>2566</v>
      </c>
      <c r="C431" s="11" t="s">
        <v>54</v>
      </c>
      <c r="D431" s="11" t="s">
        <v>2567</v>
      </c>
      <c r="E431" s="11" t="s">
        <v>2568</v>
      </c>
      <c r="F431" s="11" t="s">
        <v>2569</v>
      </c>
      <c r="G431" s="11" t="s">
        <v>58</v>
      </c>
      <c r="H431" s="11" t="s">
        <v>2570</v>
      </c>
      <c r="I431" s="11" t="s">
        <v>2571</v>
      </c>
      <c r="J431" s="12" t="s">
        <v>8</v>
      </c>
      <c r="K431" s="12"/>
      <c r="L431" s="12"/>
      <c r="M431" s="12"/>
      <c r="N431" s="12"/>
      <c r="O431" s="12" t="s">
        <v>60</v>
      </c>
      <c r="P431" s="12"/>
      <c r="Q431" s="12"/>
      <c r="R431" s="12"/>
      <c r="S431" s="12"/>
      <c r="T431" s="13" t="str">
        <f t="shared" si="30"/>
        <v>通過</v>
      </c>
      <c r="U431" s="13" t="str">
        <f t="shared" si="31"/>
        <v>一個禮拜有七天</v>
      </c>
      <c r="V431" s="13" t="str">
        <f t="shared" si="32"/>
        <v>一週/多少/七/天</v>
      </c>
      <c r="W431" s="13" t="str">
        <f t="shared" si="33"/>
        <v>是</v>
      </c>
      <c r="X431" s="13" t="str">
        <f t="shared" si="34"/>
        <v>通過</v>
      </c>
    </row>
    <row r="432" spans="1:24" ht="34" customHeight="1">
      <c r="A432" s="11" t="s">
        <v>2572</v>
      </c>
      <c r="B432" s="11" t="s">
        <v>2572</v>
      </c>
      <c r="C432" s="11" t="s">
        <v>54</v>
      </c>
      <c r="D432" s="11" t="s">
        <v>2573</v>
      </c>
      <c r="E432" s="11" t="s">
        <v>2574</v>
      </c>
      <c r="F432" s="11" t="s">
        <v>2575</v>
      </c>
      <c r="G432" s="11" t="s">
        <v>58</v>
      </c>
      <c r="H432" s="11" t="s">
        <v>2576</v>
      </c>
      <c r="I432" s="11" t="s">
        <v>2577</v>
      </c>
      <c r="J432" s="12" t="s">
        <v>8</v>
      </c>
      <c r="K432" s="12"/>
      <c r="L432" s="12"/>
      <c r="M432" s="12"/>
      <c r="N432" s="12"/>
      <c r="O432" s="12" t="s">
        <v>60</v>
      </c>
      <c r="P432" s="12"/>
      <c r="Q432" s="12"/>
      <c r="R432" s="12"/>
      <c r="S432" s="12"/>
      <c r="T432" s="13" t="str">
        <f t="shared" si="30"/>
        <v>通過</v>
      </c>
      <c r="U432" s="13" t="str">
        <f t="shared" si="31"/>
        <v>剛剛我跟總統握手</v>
      </c>
      <c r="V432" s="13" t="str">
        <f t="shared" si="32"/>
        <v>剛剛/總統/我/握手</v>
      </c>
      <c r="W432" s="13" t="str">
        <f t="shared" si="33"/>
        <v>是</v>
      </c>
      <c r="X432" s="13" t="str">
        <f t="shared" si="34"/>
        <v>通過</v>
      </c>
    </row>
    <row r="433" spans="1:24" ht="34" customHeight="1">
      <c r="A433" s="11" t="s">
        <v>2578</v>
      </c>
      <c r="B433" s="11" t="s">
        <v>2578</v>
      </c>
      <c r="C433" s="11" t="s">
        <v>54</v>
      </c>
      <c r="D433" s="11" t="s">
        <v>2579</v>
      </c>
      <c r="E433" s="11" t="s">
        <v>2580</v>
      </c>
      <c r="F433" s="11" t="s">
        <v>2581</v>
      </c>
      <c r="G433" s="11" t="s">
        <v>58</v>
      </c>
      <c r="H433" s="11" t="s">
        <v>2582</v>
      </c>
      <c r="I433" s="11" t="s">
        <v>2583</v>
      </c>
      <c r="J433" s="12" t="s">
        <v>8</v>
      </c>
      <c r="K433" s="12"/>
      <c r="L433" s="12"/>
      <c r="M433" s="12"/>
      <c r="N433" s="12"/>
      <c r="O433" s="12" t="s">
        <v>60</v>
      </c>
      <c r="P433" s="12"/>
      <c r="Q433" s="12"/>
      <c r="R433" s="12"/>
      <c r="S433" s="12"/>
      <c r="T433" s="13" t="str">
        <f t="shared" si="30"/>
        <v>通過</v>
      </c>
      <c r="U433" s="13" t="str">
        <f t="shared" si="31"/>
        <v>這雙鞋子穿起來很舒適</v>
      </c>
      <c r="V433" s="13" t="str">
        <f t="shared" si="32"/>
        <v>這/鞋子/穿鞋子/舒服</v>
      </c>
      <c r="W433" s="13" t="str">
        <f t="shared" si="33"/>
        <v>是</v>
      </c>
      <c r="X433" s="13" t="str">
        <f t="shared" si="34"/>
        <v>通過</v>
      </c>
    </row>
    <row r="434" spans="1:24" ht="34" customHeight="1">
      <c r="A434" s="11" t="s">
        <v>2584</v>
      </c>
      <c r="B434" s="11" t="s">
        <v>2584</v>
      </c>
      <c r="C434" s="11" t="s">
        <v>54</v>
      </c>
      <c r="D434" s="11" t="s">
        <v>2585</v>
      </c>
      <c r="E434" s="11" t="s">
        <v>2586</v>
      </c>
      <c r="F434" s="11" t="s">
        <v>2587</v>
      </c>
      <c r="G434" s="11" t="s">
        <v>58</v>
      </c>
      <c r="H434" s="11" t="s">
        <v>2588</v>
      </c>
      <c r="I434" s="11" t="s">
        <v>2589</v>
      </c>
      <c r="J434" s="12" t="s">
        <v>8</v>
      </c>
      <c r="K434" s="12"/>
      <c r="L434" s="12"/>
      <c r="M434" s="12"/>
      <c r="N434" s="12"/>
      <c r="O434" s="12" t="s">
        <v>60</v>
      </c>
      <c r="P434" s="12"/>
      <c r="Q434" s="12"/>
      <c r="R434" s="12"/>
      <c r="S434" s="12"/>
      <c r="T434" s="13" t="str">
        <f t="shared" si="30"/>
        <v>通過</v>
      </c>
      <c r="U434" s="13" t="str">
        <f t="shared" si="31"/>
        <v>我們兩個離得很近</v>
      </c>
      <c r="V434" s="13" t="str">
        <f t="shared" si="32"/>
        <v>我們兩個/地方/近</v>
      </c>
      <c r="W434" s="13" t="str">
        <f t="shared" si="33"/>
        <v>是</v>
      </c>
      <c r="X434" s="13" t="str">
        <f t="shared" si="34"/>
        <v>通過</v>
      </c>
    </row>
    <row r="435" spans="1:24" ht="34" customHeight="1">
      <c r="A435" s="11" t="s">
        <v>2590</v>
      </c>
      <c r="B435" s="11" t="s">
        <v>2590</v>
      </c>
      <c r="C435" s="11" t="s">
        <v>54</v>
      </c>
      <c r="D435" s="11" t="s">
        <v>2591</v>
      </c>
      <c r="E435" s="11" t="s">
        <v>2592</v>
      </c>
      <c r="F435" s="11" t="s">
        <v>2593</v>
      </c>
      <c r="G435" s="11" t="s">
        <v>58</v>
      </c>
      <c r="H435" s="11" t="s">
        <v>2594</v>
      </c>
      <c r="I435" s="11" t="s">
        <v>2595</v>
      </c>
      <c r="J435" s="12" t="s">
        <v>8</v>
      </c>
      <c r="K435" s="12"/>
      <c r="L435" s="12"/>
      <c r="M435" s="12"/>
      <c r="N435" s="12"/>
      <c r="O435" s="12" t="s">
        <v>60</v>
      </c>
      <c r="P435" s="12"/>
      <c r="Q435" s="12"/>
      <c r="R435" s="12"/>
      <c r="S435" s="12"/>
      <c r="T435" s="13" t="str">
        <f t="shared" si="30"/>
        <v>通過</v>
      </c>
      <c r="U435" s="13" t="str">
        <f t="shared" si="31"/>
        <v>最近生活很拮据</v>
      </c>
      <c r="V435" s="13" t="str">
        <f t="shared" si="32"/>
        <v>將來的最近/生活/拮据</v>
      </c>
      <c r="W435" s="13" t="str">
        <f t="shared" si="33"/>
        <v>是</v>
      </c>
      <c r="X435" s="13" t="str">
        <f t="shared" si="34"/>
        <v>通過</v>
      </c>
    </row>
    <row r="436" spans="1:24" ht="34" customHeight="1">
      <c r="A436" s="11" t="s">
        <v>2596</v>
      </c>
      <c r="B436" s="11" t="s">
        <v>2596</v>
      </c>
      <c r="C436" s="11" t="s">
        <v>54</v>
      </c>
      <c r="D436" s="11" t="s">
        <v>2597</v>
      </c>
      <c r="E436" s="11" t="s">
        <v>2598</v>
      </c>
      <c r="F436" s="11" t="s">
        <v>2599</v>
      </c>
      <c r="G436" s="11" t="s">
        <v>58</v>
      </c>
      <c r="H436" s="11" t="s">
        <v>2600</v>
      </c>
      <c r="I436" s="11" t="s">
        <v>2601</v>
      </c>
      <c r="J436" s="12" t="s">
        <v>8</v>
      </c>
      <c r="K436" s="12"/>
      <c r="L436" s="12"/>
      <c r="M436" s="12"/>
      <c r="N436" s="12"/>
      <c r="O436" s="12" t="s">
        <v>60</v>
      </c>
      <c r="P436" s="12"/>
      <c r="Q436" s="12"/>
      <c r="R436" s="12"/>
      <c r="S436" s="12"/>
      <c r="T436" s="13" t="str">
        <f t="shared" si="30"/>
        <v>通過</v>
      </c>
      <c r="U436" s="13" t="str">
        <f t="shared" si="31"/>
        <v>互相幫忙是應該的</v>
      </c>
      <c r="V436" s="13" t="str">
        <f t="shared" si="32"/>
        <v>幫忙/互相/應該/棒</v>
      </c>
      <c r="W436" s="13" t="str">
        <f t="shared" si="33"/>
        <v>是</v>
      </c>
      <c r="X436" s="13" t="str">
        <f t="shared" si="34"/>
        <v>通過</v>
      </c>
    </row>
    <row r="437" spans="1:24" ht="34" customHeight="1">
      <c r="A437" s="11" t="s">
        <v>2602</v>
      </c>
      <c r="B437" s="11" t="s">
        <v>2602</v>
      </c>
      <c r="C437" s="11" t="s">
        <v>54</v>
      </c>
      <c r="D437" s="11" t="s">
        <v>2603</v>
      </c>
      <c r="E437" s="11" t="s">
        <v>2604</v>
      </c>
      <c r="F437" s="11" t="s">
        <v>2605</v>
      </c>
      <c r="G437" s="11" t="s">
        <v>58</v>
      </c>
      <c r="H437" s="11" t="s">
        <v>2606</v>
      </c>
      <c r="I437" s="11" t="s">
        <v>2607</v>
      </c>
      <c r="J437" s="12" t="s">
        <v>8</v>
      </c>
      <c r="K437" s="12"/>
      <c r="L437" s="12"/>
      <c r="M437" s="12"/>
      <c r="N437" s="12"/>
      <c r="O437" s="12" t="s">
        <v>60</v>
      </c>
      <c r="P437" s="12"/>
      <c r="Q437" s="12"/>
      <c r="R437" s="12"/>
      <c r="S437" s="12"/>
      <c r="T437" s="13" t="str">
        <f t="shared" si="30"/>
        <v>通過</v>
      </c>
      <c r="U437" s="13" t="str">
        <f t="shared" si="31"/>
        <v>妹妹生病了</v>
      </c>
      <c r="V437" s="13" t="str">
        <f t="shared" si="32"/>
        <v>妹妹/生病</v>
      </c>
      <c r="W437" s="13" t="str">
        <f t="shared" si="33"/>
        <v>是</v>
      </c>
      <c r="X437" s="13" t="str">
        <f t="shared" si="34"/>
        <v>通過</v>
      </c>
    </row>
    <row r="438" spans="1:24" ht="34" customHeight="1">
      <c r="A438" s="11" t="s">
        <v>2608</v>
      </c>
      <c r="B438" s="11" t="s">
        <v>2608</v>
      </c>
      <c r="C438" s="11" t="s">
        <v>54</v>
      </c>
      <c r="D438" s="11" t="s">
        <v>2609</v>
      </c>
      <c r="E438" s="11" t="s">
        <v>2610</v>
      </c>
      <c r="F438" s="11" t="s">
        <v>2611</v>
      </c>
      <c r="G438" s="11" t="s">
        <v>58</v>
      </c>
      <c r="H438" s="11" t="s">
        <v>2612</v>
      </c>
      <c r="I438" s="11" t="s">
        <v>2613</v>
      </c>
      <c r="J438" s="12" t="s">
        <v>8</v>
      </c>
      <c r="K438" s="12"/>
      <c r="L438" s="12"/>
      <c r="M438" s="12"/>
      <c r="N438" s="12"/>
      <c r="O438" s="12" t="s">
        <v>60</v>
      </c>
      <c r="P438" s="12"/>
      <c r="Q438" s="12"/>
      <c r="R438" s="12"/>
      <c r="S438" s="12"/>
      <c r="T438" s="13" t="str">
        <f t="shared" si="30"/>
        <v>通過</v>
      </c>
      <c r="U438" s="13" t="str">
        <f t="shared" si="31"/>
        <v>兒子長得很像爸爸</v>
      </c>
      <c r="V438" s="13" t="str">
        <f t="shared" si="32"/>
        <v>兒子/他/爸爸/他倆/臉/像</v>
      </c>
      <c r="W438" s="13" t="str">
        <f t="shared" si="33"/>
        <v>是</v>
      </c>
      <c r="X438" s="13" t="str">
        <f t="shared" si="34"/>
        <v>通過</v>
      </c>
    </row>
    <row r="439" spans="1:24" ht="34" customHeight="1">
      <c r="A439" s="11" t="s">
        <v>2614</v>
      </c>
      <c r="B439" s="11" t="s">
        <v>2614</v>
      </c>
      <c r="C439" s="11" t="s">
        <v>54</v>
      </c>
      <c r="D439" s="11" t="s">
        <v>2615</v>
      </c>
      <c r="E439" s="11" t="s">
        <v>2616</v>
      </c>
      <c r="F439" s="11" t="s">
        <v>2617</v>
      </c>
      <c r="G439" s="11" t="s">
        <v>58</v>
      </c>
      <c r="H439" s="11" t="s">
        <v>2618</v>
      </c>
      <c r="I439" s="11" t="s">
        <v>2619</v>
      </c>
      <c r="J439" s="12" t="s">
        <v>8</v>
      </c>
      <c r="K439" s="12"/>
      <c r="L439" s="12"/>
      <c r="M439" s="12"/>
      <c r="N439" s="12"/>
      <c r="O439" s="12" t="s">
        <v>60</v>
      </c>
      <c r="P439" s="12"/>
      <c r="Q439" s="12"/>
      <c r="R439" s="12"/>
      <c r="S439" s="12"/>
      <c r="T439" s="13" t="str">
        <f t="shared" si="30"/>
        <v>通過</v>
      </c>
      <c r="U439" s="13" t="str">
        <f t="shared" si="31"/>
        <v>你以為我不會手語嗎</v>
      </c>
      <c r="V439" s="13" t="str">
        <f t="shared" si="32"/>
        <v>你/以為/我/手語/不會</v>
      </c>
      <c r="W439" s="13" t="str">
        <f t="shared" si="33"/>
        <v>是</v>
      </c>
      <c r="X439" s="13" t="str">
        <f t="shared" si="34"/>
        <v>通過</v>
      </c>
    </row>
    <row r="440" spans="1:24" ht="34" customHeight="1">
      <c r="A440" s="11" t="s">
        <v>2620</v>
      </c>
      <c r="B440" s="11" t="s">
        <v>2620</v>
      </c>
      <c r="C440" s="11" t="s">
        <v>54</v>
      </c>
      <c r="D440" s="11" t="s">
        <v>2621</v>
      </c>
      <c r="E440" s="11" t="s">
        <v>2622</v>
      </c>
      <c r="F440" s="11" t="s">
        <v>2623</v>
      </c>
      <c r="G440" s="11" t="s">
        <v>58</v>
      </c>
      <c r="H440" s="11" t="s">
        <v>2624</v>
      </c>
      <c r="I440" s="11" t="s">
        <v>2625</v>
      </c>
      <c r="J440" s="12" t="s">
        <v>8</v>
      </c>
      <c r="K440" s="12"/>
      <c r="L440" s="12"/>
      <c r="M440" s="12"/>
      <c r="N440" s="12"/>
      <c r="O440" s="12" t="s">
        <v>60</v>
      </c>
      <c r="P440" s="12"/>
      <c r="Q440" s="12"/>
      <c r="R440" s="12"/>
      <c r="S440" s="12"/>
      <c r="T440" s="13" t="str">
        <f t="shared" si="30"/>
        <v>通過</v>
      </c>
      <c r="U440" s="13" t="str">
        <f t="shared" si="31"/>
        <v>弟弟喜歡聽歌曲(音樂)</v>
      </c>
      <c r="V440" s="13" t="str">
        <f t="shared" si="32"/>
        <v>聽/歌/弟弟/喜歡</v>
      </c>
      <c r="W440" s="13" t="str">
        <f t="shared" si="33"/>
        <v>是</v>
      </c>
      <c r="X440" s="13" t="str">
        <f t="shared" si="34"/>
        <v>通過</v>
      </c>
    </row>
    <row r="441" spans="1:24" ht="34" customHeight="1">
      <c r="A441" s="11" t="s">
        <v>2626</v>
      </c>
      <c r="B441" s="11" t="s">
        <v>2626</v>
      </c>
      <c r="C441" s="11" t="s">
        <v>54</v>
      </c>
      <c r="D441" s="11" t="s">
        <v>2627</v>
      </c>
      <c r="E441" s="11" t="s">
        <v>2628</v>
      </c>
      <c r="F441" s="11" t="s">
        <v>2629</v>
      </c>
      <c r="G441" s="11" t="s">
        <v>58</v>
      </c>
      <c r="H441" s="11" t="s">
        <v>2630</v>
      </c>
      <c r="I441" s="11" t="s">
        <v>2631</v>
      </c>
      <c r="J441" s="12" t="s">
        <v>8</v>
      </c>
      <c r="K441" s="12"/>
      <c r="L441" s="12"/>
      <c r="M441" s="12"/>
      <c r="N441" s="12"/>
      <c r="O441" s="12" t="s">
        <v>60</v>
      </c>
      <c r="P441" s="12"/>
      <c r="Q441" s="12"/>
      <c r="R441" s="12"/>
      <c r="S441" s="12"/>
      <c r="T441" s="13" t="str">
        <f t="shared" si="30"/>
        <v>通過</v>
      </c>
      <c r="U441" s="13" t="str">
        <f t="shared" si="31"/>
        <v>你坐在這裡等我</v>
      </c>
      <c r="V441" s="13" t="str">
        <f t="shared" si="32"/>
        <v>你/這/坐/等</v>
      </c>
      <c r="W441" s="13" t="str">
        <f t="shared" si="33"/>
        <v>是</v>
      </c>
      <c r="X441" s="13" t="str">
        <f t="shared" si="34"/>
        <v>通過</v>
      </c>
    </row>
    <row r="442" spans="1:24" ht="34" customHeight="1">
      <c r="A442" s="11" t="s">
        <v>2632</v>
      </c>
      <c r="B442" s="11" t="s">
        <v>2632</v>
      </c>
      <c r="C442" s="11" t="s">
        <v>54</v>
      </c>
      <c r="D442" s="11" t="s">
        <v>2633</v>
      </c>
      <c r="E442" s="11" t="s">
        <v>2634</v>
      </c>
      <c r="F442" s="11" t="s">
        <v>2635</v>
      </c>
      <c r="G442" s="11" t="s">
        <v>58</v>
      </c>
      <c r="H442" s="11" t="s">
        <v>2636</v>
      </c>
      <c r="I442" s="11" t="s">
        <v>2637</v>
      </c>
      <c r="J442" s="12" t="s">
        <v>8</v>
      </c>
      <c r="K442" s="12"/>
      <c r="L442" s="12"/>
      <c r="M442" s="12"/>
      <c r="N442" s="12"/>
      <c r="O442" s="12" t="s">
        <v>60</v>
      </c>
      <c r="P442" s="12"/>
      <c r="Q442" s="12"/>
      <c r="R442" s="12"/>
      <c r="S442" s="12"/>
      <c r="T442" s="13" t="str">
        <f t="shared" si="30"/>
        <v>通過</v>
      </c>
      <c r="U442" s="13" t="str">
        <f t="shared" si="31"/>
        <v>滑雪是冬季奧運的比賽項目之一</v>
      </c>
      <c r="V442" s="13" t="str">
        <f t="shared" si="32"/>
        <v>雪/滑雪/這/冬奧/裡/種類/一</v>
      </c>
      <c r="W442" s="13" t="str">
        <f t="shared" si="33"/>
        <v>是</v>
      </c>
      <c r="X442" s="13" t="str">
        <f t="shared" si="34"/>
        <v>通過</v>
      </c>
    </row>
    <row r="443" spans="1:24" ht="34" customHeight="1">
      <c r="A443" s="11" t="s">
        <v>2638</v>
      </c>
      <c r="B443" s="11" t="s">
        <v>2638</v>
      </c>
      <c r="C443" s="11" t="s">
        <v>54</v>
      </c>
      <c r="D443" s="11" t="s">
        <v>2639</v>
      </c>
      <c r="E443" s="11" t="s">
        <v>2640</v>
      </c>
      <c r="F443" s="11" t="s">
        <v>2641</v>
      </c>
      <c r="G443" s="11" t="s">
        <v>58</v>
      </c>
      <c r="H443" s="11" t="s">
        <v>2642</v>
      </c>
      <c r="I443" s="11" t="s">
        <v>2643</v>
      </c>
      <c r="J443" s="12" t="s">
        <v>8</v>
      </c>
      <c r="K443" s="12"/>
      <c r="L443" s="12"/>
      <c r="M443" s="12"/>
      <c r="N443" s="12"/>
      <c r="O443" s="12" t="s">
        <v>60</v>
      </c>
      <c r="P443" s="12"/>
      <c r="Q443" s="12"/>
      <c r="R443" s="12"/>
      <c r="S443" s="12"/>
      <c r="T443" s="13" t="str">
        <f t="shared" si="30"/>
        <v>通過</v>
      </c>
      <c r="U443" s="13" t="str">
        <f t="shared" si="31"/>
        <v>用動物皮製作產品很殘忍</v>
      </c>
      <c r="V443" s="13" t="str">
        <f t="shared" si="32"/>
        <v>動物/皮/做/那/哭/殘忍</v>
      </c>
      <c r="W443" s="13" t="str">
        <f t="shared" si="33"/>
        <v>是</v>
      </c>
      <c r="X443" s="13" t="str">
        <f t="shared" si="34"/>
        <v>通過</v>
      </c>
    </row>
    <row r="444" spans="1:24" ht="34" customHeight="1">
      <c r="A444" s="11" t="s">
        <v>2644</v>
      </c>
      <c r="B444" s="11" t="s">
        <v>2644</v>
      </c>
      <c r="C444" s="11" t="s">
        <v>54</v>
      </c>
      <c r="D444" s="11" t="s">
        <v>2645</v>
      </c>
      <c r="E444" s="11" t="s">
        <v>2646</v>
      </c>
      <c r="F444" s="11" t="s">
        <v>2647</v>
      </c>
      <c r="G444" s="11" t="s">
        <v>58</v>
      </c>
      <c r="H444" s="11" t="s">
        <v>2648</v>
      </c>
      <c r="I444" s="11" t="s">
        <v>2649</v>
      </c>
      <c r="J444" s="12" t="s">
        <v>8</v>
      </c>
      <c r="K444" s="12"/>
      <c r="L444" s="12"/>
      <c r="M444" s="12"/>
      <c r="N444" s="12"/>
      <c r="O444" s="12" t="s">
        <v>60</v>
      </c>
      <c r="P444" s="12"/>
      <c r="Q444" s="12"/>
      <c r="R444" s="12"/>
      <c r="S444" s="12"/>
      <c r="T444" s="13" t="str">
        <f t="shared" si="30"/>
        <v>通過</v>
      </c>
      <c r="U444" s="13" t="str">
        <f t="shared" si="31"/>
        <v>天上一點雲都沒有</v>
      </c>
      <c r="V444" s="13" t="str">
        <f t="shared" si="32"/>
        <v>天/那/雲/空/沒有</v>
      </c>
      <c r="W444" s="13" t="str">
        <f t="shared" si="33"/>
        <v>是</v>
      </c>
      <c r="X444" s="13" t="str">
        <f t="shared" si="34"/>
        <v>通過</v>
      </c>
    </row>
    <row r="445" spans="1:24" ht="34" customHeight="1">
      <c r="A445" s="11" t="s">
        <v>2650</v>
      </c>
      <c r="B445" s="11" t="s">
        <v>2650</v>
      </c>
      <c r="C445" s="11" t="s">
        <v>54</v>
      </c>
      <c r="D445" s="11" t="s">
        <v>2651</v>
      </c>
      <c r="E445" s="11" t="s">
        <v>2652</v>
      </c>
      <c r="F445" s="11" t="s">
        <v>2653</v>
      </c>
      <c r="G445" s="11" t="s">
        <v>58</v>
      </c>
      <c r="H445" s="11" t="s">
        <v>2654</v>
      </c>
      <c r="I445" s="11" t="s">
        <v>2655</v>
      </c>
      <c r="J445" s="12" t="s">
        <v>8</v>
      </c>
      <c r="K445" s="12"/>
      <c r="L445" s="12"/>
      <c r="M445" s="12"/>
      <c r="N445" s="12"/>
      <c r="O445" s="12" t="s">
        <v>60</v>
      </c>
      <c r="P445" s="12"/>
      <c r="Q445" s="12"/>
      <c r="R445" s="12"/>
      <c r="S445" s="12"/>
      <c r="T445" s="13" t="str">
        <f t="shared" si="30"/>
        <v>通過</v>
      </c>
      <c r="U445" s="13" t="str">
        <f t="shared" si="31"/>
        <v>他睡著了</v>
      </c>
      <c r="V445" s="13" t="str">
        <f t="shared" si="32"/>
        <v>他/睡</v>
      </c>
      <c r="W445" s="13" t="str">
        <f t="shared" si="33"/>
        <v>是</v>
      </c>
      <c r="X445" s="13" t="str">
        <f t="shared" si="34"/>
        <v>通過</v>
      </c>
    </row>
    <row r="446" spans="1:24" ht="34" customHeight="1">
      <c r="A446" s="11" t="s">
        <v>2656</v>
      </c>
      <c r="B446" s="11" t="s">
        <v>2656</v>
      </c>
      <c r="C446" s="11" t="s">
        <v>54</v>
      </c>
      <c r="D446" s="11" t="s">
        <v>2651</v>
      </c>
      <c r="E446" s="11" t="s">
        <v>2657</v>
      </c>
      <c r="F446" s="11" t="s">
        <v>2658</v>
      </c>
      <c r="G446" s="11" t="s">
        <v>58</v>
      </c>
      <c r="H446" s="11" t="s">
        <v>2659</v>
      </c>
      <c r="I446" s="11" t="s">
        <v>2660</v>
      </c>
      <c r="J446" s="12" t="s">
        <v>8</v>
      </c>
      <c r="K446" s="12"/>
      <c r="L446" s="12"/>
      <c r="M446" s="12"/>
      <c r="N446" s="12"/>
      <c r="O446" s="12" t="s">
        <v>60</v>
      </c>
      <c r="P446" s="12"/>
      <c r="Q446" s="12"/>
      <c r="R446" s="12"/>
      <c r="S446" s="12"/>
      <c r="T446" s="13" t="str">
        <f t="shared" si="30"/>
        <v>通過</v>
      </c>
      <c r="U446" s="13" t="str">
        <f t="shared" si="31"/>
        <v>為了這份計劃，他已經好幾天沒睡覺了</v>
      </c>
      <c r="V446" s="13" t="str">
        <f t="shared" si="32"/>
        <v>這/我/關係/這/計畫/這/幾天/全/睡/沒有</v>
      </c>
      <c r="W446" s="13" t="str">
        <f t="shared" si="33"/>
        <v>是</v>
      </c>
      <c r="X446" s="13" t="str">
        <f t="shared" si="34"/>
        <v>通過</v>
      </c>
    </row>
    <row r="447" spans="1:24" ht="34" customHeight="1">
      <c r="A447" s="11" t="s">
        <v>2661</v>
      </c>
      <c r="B447" s="11" t="s">
        <v>2661</v>
      </c>
      <c r="C447" s="11" t="s">
        <v>54</v>
      </c>
      <c r="D447" s="11" t="s">
        <v>2662</v>
      </c>
      <c r="E447" s="11" t="s">
        <v>2663</v>
      </c>
      <c r="F447" s="11" t="s">
        <v>2664</v>
      </c>
      <c r="G447" s="11" t="s">
        <v>58</v>
      </c>
      <c r="H447" s="11" t="s">
        <v>2665</v>
      </c>
      <c r="I447" s="11" t="s">
        <v>2666</v>
      </c>
      <c r="J447" s="12" t="s">
        <v>8</v>
      </c>
      <c r="K447" s="12"/>
      <c r="L447" s="12"/>
      <c r="M447" s="12"/>
      <c r="N447" s="12"/>
      <c r="O447" s="12" t="s">
        <v>60</v>
      </c>
      <c r="P447" s="12"/>
      <c r="Q447" s="12"/>
      <c r="R447" s="12"/>
      <c r="S447" s="12"/>
      <c r="T447" s="13" t="str">
        <f t="shared" si="30"/>
        <v>通過</v>
      </c>
      <c r="U447" s="13" t="str">
        <f t="shared" si="31"/>
        <v>天雨路滑,慢慢走</v>
      </c>
      <c r="V447" s="13" t="str">
        <f t="shared" si="32"/>
        <v>那/下雨/這/路/滑/你/走/慢</v>
      </c>
      <c r="W447" s="13" t="str">
        <f t="shared" si="33"/>
        <v>是</v>
      </c>
      <c r="X447" s="13" t="str">
        <f t="shared" si="34"/>
        <v>通過</v>
      </c>
    </row>
    <row r="448" spans="1:24" ht="34" customHeight="1">
      <c r="A448" s="11" t="s">
        <v>2667</v>
      </c>
      <c r="B448" s="11" t="s">
        <v>2667</v>
      </c>
      <c r="C448" s="11" t="s">
        <v>54</v>
      </c>
      <c r="D448" s="11" t="s">
        <v>2668</v>
      </c>
      <c r="E448" s="11" t="s">
        <v>2669</v>
      </c>
      <c r="F448" s="11" t="s">
        <v>2670</v>
      </c>
      <c r="G448" s="11" t="s">
        <v>58</v>
      </c>
      <c r="H448" s="11" t="s">
        <v>2671</v>
      </c>
      <c r="I448" s="11" t="s">
        <v>2672</v>
      </c>
      <c r="J448" s="12" t="s">
        <v>8</v>
      </c>
      <c r="K448" s="12"/>
      <c r="L448" s="12"/>
      <c r="M448" s="12"/>
      <c r="N448" s="12"/>
      <c r="O448" s="12" t="s">
        <v>60</v>
      </c>
      <c r="P448" s="12"/>
      <c r="Q448" s="12"/>
      <c r="R448" s="12"/>
      <c r="S448" s="12"/>
      <c r="T448" s="13" t="str">
        <f t="shared" si="30"/>
        <v>通過</v>
      </c>
      <c r="U448" s="13" t="str">
        <f t="shared" si="31"/>
        <v>這一個容器中的這一顆蘋果壞掉了</v>
      </c>
      <c r="V448" s="13" t="str">
        <f t="shared" si="32"/>
        <v>這/容器/這些/蘋果/一顆顆/這/這一顆/壞/臭/這</v>
      </c>
      <c r="W448" s="13" t="str">
        <f t="shared" si="33"/>
        <v>是</v>
      </c>
      <c r="X448" s="13" t="str">
        <f t="shared" si="34"/>
        <v>通過</v>
      </c>
    </row>
    <row r="449" spans="1:24" ht="34" customHeight="1">
      <c r="A449" s="11" t="s">
        <v>2673</v>
      </c>
      <c r="B449" s="11" t="s">
        <v>2673</v>
      </c>
      <c r="C449" s="11" t="s">
        <v>54</v>
      </c>
      <c r="D449" s="11" t="s">
        <v>2674</v>
      </c>
      <c r="E449" s="11" t="s">
        <v>2675</v>
      </c>
      <c r="F449" s="11" t="s">
        <v>2676</v>
      </c>
      <c r="G449" s="11" t="s">
        <v>58</v>
      </c>
      <c r="H449" s="11" t="s">
        <v>2677</v>
      </c>
      <c r="I449" s="11" t="s">
        <v>2678</v>
      </c>
      <c r="J449" s="12" t="s">
        <v>8</v>
      </c>
      <c r="K449" s="12"/>
      <c r="L449" s="12"/>
      <c r="M449" s="12"/>
      <c r="N449" s="12"/>
      <c r="O449" s="12" t="s">
        <v>60</v>
      </c>
      <c r="P449" s="12"/>
      <c r="Q449" s="12"/>
      <c r="R449" s="12"/>
      <c r="S449" s="12"/>
      <c r="T449" s="13" t="str">
        <f t="shared" si="30"/>
        <v>通過</v>
      </c>
      <c r="U449" s="13" t="str">
        <f t="shared" si="31"/>
        <v>爸爸的襪子很多</v>
      </c>
      <c r="V449" s="13" t="str">
        <f t="shared" si="32"/>
        <v>爸爸/襪子/數量/多</v>
      </c>
      <c r="W449" s="13" t="str">
        <f t="shared" si="33"/>
        <v>是</v>
      </c>
      <c r="X449" s="13" t="str">
        <f t="shared" si="34"/>
        <v>通過</v>
      </c>
    </row>
    <row r="450" spans="1:24" ht="34" customHeight="1">
      <c r="A450" s="11" t="s">
        <v>2679</v>
      </c>
      <c r="B450" s="11" t="s">
        <v>2679</v>
      </c>
      <c r="C450" s="11" t="s">
        <v>54</v>
      </c>
      <c r="D450" s="11" t="s">
        <v>2680</v>
      </c>
      <c r="E450" s="11" t="s">
        <v>2681</v>
      </c>
      <c r="F450" s="11" t="s">
        <v>2682</v>
      </c>
      <c r="G450" s="11" t="s">
        <v>58</v>
      </c>
      <c r="H450" s="11" t="s">
        <v>2683</v>
      </c>
      <c r="I450" s="11" t="s">
        <v>2684</v>
      </c>
      <c r="J450" s="12" t="s">
        <v>8</v>
      </c>
      <c r="K450" s="12"/>
      <c r="L450" s="12"/>
      <c r="M450" s="12"/>
      <c r="N450" s="12"/>
      <c r="O450" s="12" t="s">
        <v>60</v>
      </c>
      <c r="P450" s="12"/>
      <c r="Q450" s="12"/>
      <c r="R450" s="12"/>
      <c r="S450" s="12"/>
      <c r="T450" s="13" t="str">
        <f t="shared" ref="T450:T513" si="35">IF(J450="","未填",IF(J450="需複審",IF(OR(P450="",P450="仍需複審"),"待複審",P450),J450))</f>
        <v>通過</v>
      </c>
      <c r="U450" s="13" t="str">
        <f t="shared" ref="U450:U513" si="36">IF(T450="通過",E450,IF(T450="需更正",IF(J450="需複審",IF(Q450="",E450,Q450),IF(L450="",E450,L450)),""))</f>
        <v>他向媽媽說對不起</v>
      </c>
      <c r="V450" s="13" t="str">
        <f t="shared" ref="V450:V513" si="37">IF(T450="通過",F450,IF(T450="需更正",IF(J450="需複審",R450,M450),""))</f>
        <v>他/媽媽/我/向/媽媽/對不起</v>
      </c>
      <c r="W450" s="13" t="str">
        <f t="shared" ref="W450:W513" si="38">IF(AND(OR(T450="通過",AND(T450="需更正",V450&lt;&gt;"")),X450="通過"),"是","否")</f>
        <v>是</v>
      </c>
      <c r="X450" s="13" t="str">
        <f t="shared" ref="X450:X513" si="39">IF(J450="","未填",IF(AND(J450="需複審",OR(P450="",P450="仍需複審")),"待複審",IF(OR(AND(J450="需更正",K450=""),AND(J450="需更正",M450=""),AND(J450="需更正",N450=""),AND(J450="排除",OR(K450="",N450="")),AND(J450="需複審",P450="需更正",R450=""),AND(J450="需複審",P450="需更正",S450=""),AND(J450="需複審",P450="排除",S450="")),"錯誤：請補齊必填欄位","通過")))</f>
        <v>通過</v>
      </c>
    </row>
    <row r="451" spans="1:24" ht="34" customHeight="1">
      <c r="A451" s="11" t="s">
        <v>2685</v>
      </c>
      <c r="B451" s="11" t="s">
        <v>2685</v>
      </c>
      <c r="C451" s="11" t="s">
        <v>54</v>
      </c>
      <c r="D451" s="11" t="s">
        <v>2686</v>
      </c>
      <c r="E451" s="11" t="s">
        <v>2687</v>
      </c>
      <c r="F451" s="11" t="s">
        <v>2688</v>
      </c>
      <c r="G451" s="11" t="s">
        <v>58</v>
      </c>
      <c r="H451" s="11" t="s">
        <v>2689</v>
      </c>
      <c r="I451" s="11" t="s">
        <v>2690</v>
      </c>
      <c r="J451" s="12" t="s">
        <v>8</v>
      </c>
      <c r="K451" s="12"/>
      <c r="L451" s="12"/>
      <c r="M451" s="12"/>
      <c r="N451" s="12"/>
      <c r="O451" s="12" t="s">
        <v>60</v>
      </c>
      <c r="P451" s="12"/>
      <c r="Q451" s="12"/>
      <c r="R451" s="12"/>
      <c r="S451" s="12"/>
      <c r="T451" s="13" t="str">
        <f t="shared" si="35"/>
        <v>通過</v>
      </c>
      <c r="U451" s="13" t="str">
        <f t="shared" si="36"/>
        <v>這梅子很酸</v>
      </c>
      <c r="V451" s="13" t="str">
        <f t="shared" si="37"/>
        <v>梅/這/酸/很/這</v>
      </c>
      <c r="W451" s="13" t="str">
        <f t="shared" si="38"/>
        <v>是</v>
      </c>
      <c r="X451" s="13" t="str">
        <f t="shared" si="39"/>
        <v>通過</v>
      </c>
    </row>
    <row r="452" spans="1:24" ht="34" customHeight="1">
      <c r="A452" s="11" t="s">
        <v>2691</v>
      </c>
      <c r="B452" s="11" t="s">
        <v>2691</v>
      </c>
      <c r="C452" s="11" t="s">
        <v>54</v>
      </c>
      <c r="D452" s="11" t="s">
        <v>2692</v>
      </c>
      <c r="E452" s="11" t="s">
        <v>2693</v>
      </c>
      <c r="F452" s="11" t="s">
        <v>2694</v>
      </c>
      <c r="G452" s="11" t="s">
        <v>58</v>
      </c>
      <c r="H452" s="11" t="s">
        <v>2695</v>
      </c>
      <c r="I452" s="11" t="s">
        <v>2696</v>
      </c>
      <c r="J452" s="12" t="s">
        <v>8</v>
      </c>
      <c r="K452" s="12"/>
      <c r="L452" s="12"/>
      <c r="M452" s="12"/>
      <c r="N452" s="12"/>
      <c r="O452" s="12" t="s">
        <v>60</v>
      </c>
      <c r="P452" s="12"/>
      <c r="Q452" s="12"/>
      <c r="R452" s="12"/>
      <c r="S452" s="12"/>
      <c r="T452" s="13" t="str">
        <f t="shared" si="35"/>
        <v>通過</v>
      </c>
      <c r="U452" s="13" t="str">
        <f t="shared" si="36"/>
        <v>南方比北方熱</v>
      </c>
      <c r="V452" s="13" t="str">
        <f t="shared" si="37"/>
        <v>北/地方/南/地方/勝過/熱</v>
      </c>
      <c r="W452" s="13" t="str">
        <f t="shared" si="38"/>
        <v>是</v>
      </c>
      <c r="X452" s="13" t="str">
        <f t="shared" si="39"/>
        <v>通過</v>
      </c>
    </row>
    <row r="453" spans="1:24" ht="34" customHeight="1">
      <c r="A453" s="11" t="s">
        <v>2697</v>
      </c>
      <c r="B453" s="11" t="s">
        <v>2697</v>
      </c>
      <c r="C453" s="11" t="s">
        <v>54</v>
      </c>
      <c r="D453" s="11" t="s">
        <v>2698</v>
      </c>
      <c r="E453" s="11" t="s">
        <v>2699</v>
      </c>
      <c r="F453" s="11" t="s">
        <v>2700</v>
      </c>
      <c r="G453" s="11" t="s">
        <v>58</v>
      </c>
      <c r="H453" s="11" t="s">
        <v>2701</v>
      </c>
      <c r="I453" s="11" t="s">
        <v>2702</v>
      </c>
      <c r="J453" s="12" t="s">
        <v>8</v>
      </c>
      <c r="K453" s="12"/>
      <c r="L453" s="12"/>
      <c r="M453" s="12"/>
      <c r="N453" s="12"/>
      <c r="O453" s="12" t="s">
        <v>60</v>
      </c>
      <c r="P453" s="12"/>
      <c r="Q453" s="12"/>
      <c r="R453" s="12"/>
      <c r="S453" s="12"/>
      <c r="T453" s="13" t="str">
        <f t="shared" si="35"/>
        <v>通過</v>
      </c>
      <c r="U453" s="13" t="str">
        <f t="shared" si="36"/>
        <v>他把醬油倒的到處都是</v>
      </c>
      <c r="V453" s="13" t="str">
        <f t="shared" si="37"/>
        <v>他/醬油/倒(到處)</v>
      </c>
      <c r="W453" s="13" t="str">
        <f t="shared" si="38"/>
        <v>是</v>
      </c>
      <c r="X453" s="13" t="str">
        <f t="shared" si="39"/>
        <v>通過</v>
      </c>
    </row>
    <row r="454" spans="1:24" ht="34" customHeight="1">
      <c r="A454" s="11" t="s">
        <v>2703</v>
      </c>
      <c r="B454" s="11" t="s">
        <v>2703</v>
      </c>
      <c r="C454" s="11" t="s">
        <v>54</v>
      </c>
      <c r="D454" s="11" t="s">
        <v>2704</v>
      </c>
      <c r="E454" s="11" t="s">
        <v>2705</v>
      </c>
      <c r="F454" s="11" t="s">
        <v>2706</v>
      </c>
      <c r="G454" s="11" t="s">
        <v>58</v>
      </c>
      <c r="H454" s="11" t="s">
        <v>2707</v>
      </c>
      <c r="I454" s="11" t="s">
        <v>2708</v>
      </c>
      <c r="J454" s="12" t="s">
        <v>8</v>
      </c>
      <c r="K454" s="12"/>
      <c r="L454" s="12"/>
      <c r="M454" s="12"/>
      <c r="N454" s="12"/>
      <c r="O454" s="12" t="s">
        <v>60</v>
      </c>
      <c r="P454" s="12"/>
      <c r="Q454" s="12"/>
      <c r="R454" s="12"/>
      <c r="S454" s="12"/>
      <c r="T454" s="13" t="str">
        <f t="shared" si="35"/>
        <v>通過</v>
      </c>
      <c r="U454" s="13" t="str">
        <f t="shared" si="36"/>
        <v>他的腳掌很寬</v>
      </c>
      <c r="V454" s="13" t="str">
        <f t="shared" si="37"/>
        <v>他/腳掌/這/寬</v>
      </c>
      <c r="W454" s="13" t="str">
        <f t="shared" si="38"/>
        <v>是</v>
      </c>
      <c r="X454" s="13" t="str">
        <f t="shared" si="39"/>
        <v>通過</v>
      </c>
    </row>
    <row r="455" spans="1:24" ht="34" customHeight="1">
      <c r="A455" s="11" t="s">
        <v>2709</v>
      </c>
      <c r="B455" s="11" t="s">
        <v>2709</v>
      </c>
      <c r="C455" s="11" t="s">
        <v>54</v>
      </c>
      <c r="D455" s="11" t="s">
        <v>2710</v>
      </c>
      <c r="E455" s="11" t="s">
        <v>2711</v>
      </c>
      <c r="F455" s="11" t="s">
        <v>2712</v>
      </c>
      <c r="G455" s="11" t="s">
        <v>58</v>
      </c>
      <c r="H455" s="11" t="s">
        <v>2713</v>
      </c>
      <c r="I455" s="11" t="s">
        <v>2714</v>
      </c>
      <c r="J455" s="12" t="s">
        <v>8</v>
      </c>
      <c r="K455" s="12"/>
      <c r="L455" s="12"/>
      <c r="M455" s="12"/>
      <c r="N455" s="12"/>
      <c r="O455" s="12" t="s">
        <v>60</v>
      </c>
      <c r="P455" s="12"/>
      <c r="Q455" s="12"/>
      <c r="R455" s="12"/>
      <c r="S455" s="12"/>
      <c r="T455" s="13" t="str">
        <f t="shared" si="35"/>
        <v>通過</v>
      </c>
      <c r="U455" s="13" t="str">
        <f t="shared" si="36"/>
        <v>我會說三種語言</v>
      </c>
      <c r="V455" s="13" t="str">
        <f t="shared" si="37"/>
        <v>我/說/種類/三/會</v>
      </c>
      <c r="W455" s="13" t="str">
        <f t="shared" si="38"/>
        <v>是</v>
      </c>
      <c r="X455" s="13" t="str">
        <f t="shared" si="39"/>
        <v>通過</v>
      </c>
    </row>
    <row r="456" spans="1:24" ht="34" customHeight="1">
      <c r="A456" s="11" t="s">
        <v>2715</v>
      </c>
      <c r="B456" s="11" t="s">
        <v>2715</v>
      </c>
      <c r="C456" s="11" t="s">
        <v>54</v>
      </c>
      <c r="D456" s="11" t="s">
        <v>2710</v>
      </c>
      <c r="E456" s="11" t="s">
        <v>2716</v>
      </c>
      <c r="F456" s="11" t="s">
        <v>2717</v>
      </c>
      <c r="G456" s="11" t="s">
        <v>58</v>
      </c>
      <c r="H456" s="11" t="s">
        <v>2718</v>
      </c>
      <c r="I456" s="11" t="s">
        <v>2719</v>
      </c>
      <c r="J456" s="12" t="s">
        <v>8</v>
      </c>
      <c r="K456" s="12"/>
      <c r="L456" s="12"/>
      <c r="M456" s="12"/>
      <c r="N456" s="12"/>
      <c r="O456" s="12" t="s">
        <v>60</v>
      </c>
      <c r="P456" s="12"/>
      <c r="Q456" s="12"/>
      <c r="R456" s="12"/>
      <c r="S456" s="12"/>
      <c r="T456" s="13" t="str">
        <f t="shared" si="35"/>
        <v>通過</v>
      </c>
      <c r="U456" s="13" t="str">
        <f t="shared" si="36"/>
        <v>你講話聲音太小了</v>
      </c>
      <c r="V456" s="13" t="str">
        <f t="shared" si="37"/>
        <v>你/說話/聲音/說話/聲音/小</v>
      </c>
      <c r="W456" s="13" t="str">
        <f t="shared" si="38"/>
        <v>是</v>
      </c>
      <c r="X456" s="13" t="str">
        <f t="shared" si="39"/>
        <v>通過</v>
      </c>
    </row>
    <row r="457" spans="1:24" ht="34" customHeight="1">
      <c r="A457" s="11" t="s">
        <v>2720</v>
      </c>
      <c r="B457" s="11" t="s">
        <v>2720</v>
      </c>
      <c r="C457" s="11" t="s">
        <v>54</v>
      </c>
      <c r="D457" s="11" t="s">
        <v>2721</v>
      </c>
      <c r="E457" s="11" t="s">
        <v>2722</v>
      </c>
      <c r="F457" s="11" t="s">
        <v>2723</v>
      </c>
      <c r="G457" s="11" t="s">
        <v>58</v>
      </c>
      <c r="H457" s="11" t="s">
        <v>2724</v>
      </c>
      <c r="I457" s="11" t="s">
        <v>2725</v>
      </c>
      <c r="J457" s="12" t="s">
        <v>8</v>
      </c>
      <c r="K457" s="12"/>
      <c r="L457" s="12"/>
      <c r="M457" s="12"/>
      <c r="N457" s="12"/>
      <c r="O457" s="12" t="s">
        <v>60</v>
      </c>
      <c r="P457" s="12"/>
      <c r="Q457" s="12"/>
      <c r="R457" s="12"/>
      <c r="S457" s="12"/>
      <c r="T457" s="13" t="str">
        <f t="shared" si="35"/>
        <v>通過</v>
      </c>
      <c r="U457" s="13" t="str">
        <f t="shared" si="36"/>
        <v>學生喜歡聽老師講鬼故事</v>
      </c>
      <c r="V457" s="13" t="str">
        <f t="shared" si="37"/>
        <v>老師/演講/鬼/故事/學生/他們/聽/喜歡</v>
      </c>
      <c r="W457" s="13" t="str">
        <f t="shared" si="38"/>
        <v>是</v>
      </c>
      <c r="X457" s="13" t="str">
        <f t="shared" si="39"/>
        <v>通過</v>
      </c>
    </row>
    <row r="458" spans="1:24" ht="34" customHeight="1">
      <c r="A458" s="11" t="s">
        <v>2726</v>
      </c>
      <c r="B458" s="11" t="s">
        <v>2726</v>
      </c>
      <c r="C458" s="11" t="s">
        <v>54</v>
      </c>
      <c r="D458" s="11" t="s">
        <v>2727</v>
      </c>
      <c r="E458" s="11" t="s">
        <v>2728</v>
      </c>
      <c r="F458" s="11" t="s">
        <v>2729</v>
      </c>
      <c r="G458" s="11" t="s">
        <v>58</v>
      </c>
      <c r="H458" s="11" t="s">
        <v>2730</v>
      </c>
      <c r="I458" s="11" t="s">
        <v>2731</v>
      </c>
      <c r="J458" s="12" t="s">
        <v>8</v>
      </c>
      <c r="K458" s="12"/>
      <c r="L458" s="12"/>
      <c r="M458" s="12"/>
      <c r="N458" s="12"/>
      <c r="O458" s="12" t="s">
        <v>60</v>
      </c>
      <c r="P458" s="12"/>
      <c r="Q458" s="12"/>
      <c r="R458" s="12"/>
      <c r="S458" s="12"/>
      <c r="T458" s="13" t="str">
        <f t="shared" si="35"/>
        <v>通過</v>
      </c>
      <c r="U458" s="13" t="str">
        <f t="shared" si="36"/>
        <v>運動家精神很重要</v>
      </c>
      <c r="V458" s="13" t="str">
        <f t="shared" si="37"/>
        <v>運動/家/精神/重/要</v>
      </c>
      <c r="W458" s="13" t="str">
        <f t="shared" si="38"/>
        <v>是</v>
      </c>
      <c r="X458" s="13" t="str">
        <f t="shared" si="39"/>
        <v>通過</v>
      </c>
    </row>
    <row r="459" spans="1:24" ht="34" customHeight="1">
      <c r="A459" s="11" t="s">
        <v>2732</v>
      </c>
      <c r="B459" s="11" t="s">
        <v>2732</v>
      </c>
      <c r="C459" s="11" t="s">
        <v>54</v>
      </c>
      <c r="D459" s="11" t="s">
        <v>2733</v>
      </c>
      <c r="E459" s="11" t="s">
        <v>2734</v>
      </c>
      <c r="F459" s="11" t="s">
        <v>2735</v>
      </c>
      <c r="G459" s="11" t="s">
        <v>58</v>
      </c>
      <c r="H459" s="11" t="s">
        <v>2736</v>
      </c>
      <c r="I459" s="11" t="s">
        <v>2737</v>
      </c>
      <c r="J459" s="12" t="s">
        <v>3253</v>
      </c>
      <c r="K459" s="12"/>
      <c r="L459" s="12"/>
      <c r="M459" s="12"/>
      <c r="N459" s="12"/>
      <c r="O459" s="12" t="s">
        <v>3250</v>
      </c>
      <c r="P459" s="12"/>
      <c r="Q459" s="12"/>
      <c r="R459" s="12"/>
      <c r="S459" s="12"/>
      <c r="T459" s="13" t="str">
        <f t="shared" si="35"/>
        <v>通過</v>
      </c>
      <c r="U459" s="13" t="str">
        <f t="shared" si="36"/>
        <v>信封上面要貼郵票</v>
      </c>
      <c r="V459" s="13" t="str">
        <f t="shared" si="37"/>
        <v>信/信封/信封的左上方/郵票/貼/信封的左上方</v>
      </c>
      <c r="W459" s="13" t="str">
        <f t="shared" si="38"/>
        <v>是</v>
      </c>
      <c r="X459" s="13" t="str">
        <f t="shared" si="39"/>
        <v>通過</v>
      </c>
    </row>
    <row r="460" spans="1:24" ht="34" customHeight="1">
      <c r="A460" s="11" t="s">
        <v>2738</v>
      </c>
      <c r="B460" s="11" t="s">
        <v>2738</v>
      </c>
      <c r="C460" s="11" t="s">
        <v>54</v>
      </c>
      <c r="D460" s="11" t="s">
        <v>2739</v>
      </c>
      <c r="E460" s="11" t="s">
        <v>2740</v>
      </c>
      <c r="F460" s="11" t="s">
        <v>2741</v>
      </c>
      <c r="G460" s="11" t="s">
        <v>58</v>
      </c>
      <c r="H460" s="11" t="s">
        <v>2742</v>
      </c>
      <c r="I460" s="11" t="s">
        <v>2743</v>
      </c>
      <c r="J460" s="12" t="s">
        <v>8</v>
      </c>
      <c r="K460" s="12"/>
      <c r="L460" s="12"/>
      <c r="M460" s="12"/>
      <c r="N460" s="12"/>
      <c r="O460" s="12" t="s">
        <v>60</v>
      </c>
      <c r="P460" s="12"/>
      <c r="Q460" s="12"/>
      <c r="R460" s="12"/>
      <c r="S460" s="12"/>
      <c r="T460" s="13" t="str">
        <f t="shared" si="35"/>
        <v>通過</v>
      </c>
      <c r="U460" s="13" t="str">
        <f t="shared" si="36"/>
        <v>我被罰站好久</v>
      </c>
      <c r="V460" s="13" t="str">
        <f t="shared" si="37"/>
        <v>我/罰我/站/等</v>
      </c>
      <c r="W460" s="13" t="str">
        <f t="shared" si="38"/>
        <v>是</v>
      </c>
      <c r="X460" s="13" t="str">
        <f t="shared" si="39"/>
        <v>通過</v>
      </c>
    </row>
    <row r="461" spans="1:24" ht="34" customHeight="1">
      <c r="A461" s="11" t="s">
        <v>2744</v>
      </c>
      <c r="B461" s="11" t="s">
        <v>2744</v>
      </c>
      <c r="C461" s="11" t="s">
        <v>54</v>
      </c>
      <c r="D461" s="11" t="s">
        <v>2745</v>
      </c>
      <c r="E461" s="11" t="s">
        <v>2746</v>
      </c>
      <c r="F461" s="11" t="s">
        <v>2747</v>
      </c>
      <c r="G461" s="11" t="s">
        <v>58</v>
      </c>
      <c r="H461" s="11" t="s">
        <v>2748</v>
      </c>
      <c r="I461" s="11" t="s">
        <v>2749</v>
      </c>
      <c r="J461" s="12" t="s">
        <v>8</v>
      </c>
      <c r="K461" s="12"/>
      <c r="L461" s="12"/>
      <c r="M461" s="12"/>
      <c r="N461" s="12"/>
      <c r="O461" s="12" t="s">
        <v>60</v>
      </c>
      <c r="P461" s="12"/>
      <c r="Q461" s="12"/>
      <c r="R461" s="12"/>
      <c r="S461" s="12"/>
      <c r="T461" s="13" t="str">
        <f t="shared" si="35"/>
        <v>通過</v>
      </c>
      <c r="U461" s="13" t="str">
        <f t="shared" si="36"/>
        <v>他開始寫作業了</v>
      </c>
      <c r="V461" s="13" t="str">
        <f t="shared" si="37"/>
        <v>他/表格/開始/寫</v>
      </c>
      <c r="W461" s="13" t="str">
        <f t="shared" si="38"/>
        <v>是</v>
      </c>
      <c r="X461" s="13" t="str">
        <f t="shared" si="39"/>
        <v>通過</v>
      </c>
    </row>
    <row r="462" spans="1:24" ht="34" customHeight="1">
      <c r="A462" s="11" t="s">
        <v>2750</v>
      </c>
      <c r="B462" s="11" t="s">
        <v>2750</v>
      </c>
      <c r="C462" s="11" t="s">
        <v>54</v>
      </c>
      <c r="D462" s="11" t="s">
        <v>2751</v>
      </c>
      <c r="E462" s="11" t="s">
        <v>2752</v>
      </c>
      <c r="F462" s="11" t="s">
        <v>2753</v>
      </c>
      <c r="G462" s="11" t="s">
        <v>58</v>
      </c>
      <c r="H462" s="11" t="s">
        <v>2754</v>
      </c>
      <c r="I462" s="11" t="s">
        <v>2755</v>
      </c>
      <c r="J462" s="12" t="s">
        <v>8</v>
      </c>
      <c r="K462" s="12"/>
      <c r="L462" s="12"/>
      <c r="M462" s="12"/>
      <c r="N462" s="12"/>
      <c r="O462" s="12" t="s">
        <v>60</v>
      </c>
      <c r="P462" s="12"/>
      <c r="Q462" s="12"/>
      <c r="R462" s="12"/>
      <c r="S462" s="12"/>
      <c r="T462" s="13" t="str">
        <f t="shared" si="35"/>
        <v>通過</v>
      </c>
      <c r="U462" s="13" t="str">
        <f t="shared" si="36"/>
        <v>我的機車被偷了</v>
      </c>
      <c r="V462" s="13" t="str">
        <f t="shared" si="37"/>
        <v>我/機車/偷</v>
      </c>
      <c r="W462" s="13" t="str">
        <f t="shared" si="38"/>
        <v>是</v>
      </c>
      <c r="X462" s="13" t="str">
        <f t="shared" si="39"/>
        <v>通過</v>
      </c>
    </row>
    <row r="463" spans="1:24" ht="34" customHeight="1">
      <c r="A463" s="11" t="s">
        <v>2756</v>
      </c>
      <c r="B463" s="11" t="s">
        <v>2756</v>
      </c>
      <c r="C463" s="11" t="s">
        <v>54</v>
      </c>
      <c r="D463" s="11" t="s">
        <v>2757</v>
      </c>
      <c r="E463" s="11" t="s">
        <v>2758</v>
      </c>
      <c r="F463" s="11" t="s">
        <v>2759</v>
      </c>
      <c r="G463" s="11" t="s">
        <v>58</v>
      </c>
      <c r="H463" s="11" t="s">
        <v>2760</v>
      </c>
      <c r="I463" s="11" t="s">
        <v>2761</v>
      </c>
      <c r="J463" s="12" t="s">
        <v>8</v>
      </c>
      <c r="K463" s="12"/>
      <c r="L463" s="12"/>
      <c r="M463" s="12"/>
      <c r="N463" s="12"/>
      <c r="O463" s="12" t="s">
        <v>60</v>
      </c>
      <c r="P463" s="12"/>
      <c r="Q463" s="12"/>
      <c r="R463" s="12"/>
      <c r="S463" s="12"/>
      <c r="T463" s="13" t="str">
        <f t="shared" si="35"/>
        <v>通過</v>
      </c>
      <c r="U463" s="13" t="str">
        <f t="shared" si="36"/>
        <v>紅燈停，綠燈行</v>
      </c>
      <c r="V463" s="13" t="str">
        <f t="shared" si="37"/>
        <v>紅/燈/停/綠/燈/走</v>
      </c>
      <c r="W463" s="13" t="str">
        <f t="shared" si="38"/>
        <v>是</v>
      </c>
      <c r="X463" s="13" t="str">
        <f t="shared" si="39"/>
        <v>通過</v>
      </c>
    </row>
    <row r="464" spans="1:24" ht="34" customHeight="1">
      <c r="A464" s="11" t="s">
        <v>2762</v>
      </c>
      <c r="B464" s="11" t="s">
        <v>2762</v>
      </c>
      <c r="C464" s="11" t="s">
        <v>54</v>
      </c>
      <c r="D464" s="11" t="s">
        <v>2763</v>
      </c>
      <c r="E464" s="11" t="s">
        <v>2764</v>
      </c>
      <c r="F464" s="11" t="s">
        <v>2765</v>
      </c>
      <c r="G464" s="11" t="s">
        <v>58</v>
      </c>
      <c r="H464" s="11" t="s">
        <v>2766</v>
      </c>
      <c r="I464" s="11" t="s">
        <v>2767</v>
      </c>
      <c r="J464" s="12" t="s">
        <v>8</v>
      </c>
      <c r="K464" s="12"/>
      <c r="L464" s="12"/>
      <c r="M464" s="12"/>
      <c r="N464" s="12"/>
      <c r="O464" s="12" t="s">
        <v>60</v>
      </c>
      <c r="P464" s="12"/>
      <c r="Q464" s="12"/>
      <c r="R464" s="12"/>
      <c r="S464" s="12"/>
      <c r="T464" s="13" t="str">
        <f t="shared" si="35"/>
        <v>通過</v>
      </c>
      <c r="U464" s="13" t="str">
        <f t="shared" si="36"/>
        <v>直走到底右轉就到銀行</v>
      </c>
      <c r="V464" s="13" t="str">
        <f t="shared" si="37"/>
        <v>直/走/直/到底/右轉/這/銀行/地方</v>
      </c>
      <c r="W464" s="13" t="str">
        <f t="shared" si="38"/>
        <v>是</v>
      </c>
      <c r="X464" s="13" t="str">
        <f t="shared" si="39"/>
        <v>通過</v>
      </c>
    </row>
    <row r="465" spans="1:24" ht="34" customHeight="1">
      <c r="A465" s="11" t="s">
        <v>2768</v>
      </c>
      <c r="B465" s="11" t="s">
        <v>2768</v>
      </c>
      <c r="C465" s="11" t="s">
        <v>54</v>
      </c>
      <c r="D465" s="11" t="s">
        <v>2769</v>
      </c>
      <c r="E465" s="11" t="s">
        <v>2770</v>
      </c>
      <c r="F465" s="11" t="s">
        <v>2771</v>
      </c>
      <c r="G465" s="11" t="s">
        <v>58</v>
      </c>
      <c r="H465" s="11" t="s">
        <v>2772</v>
      </c>
      <c r="I465" s="11" t="s">
        <v>2773</v>
      </c>
      <c r="J465" s="12" t="s">
        <v>8</v>
      </c>
      <c r="K465" s="12"/>
      <c r="L465" s="12"/>
      <c r="M465" s="12"/>
      <c r="N465" s="12"/>
      <c r="O465" s="12" t="s">
        <v>60</v>
      </c>
      <c r="P465" s="12"/>
      <c r="Q465" s="12"/>
      <c r="R465" s="12"/>
      <c r="S465" s="12"/>
      <c r="T465" s="13" t="str">
        <f t="shared" si="35"/>
        <v>通過</v>
      </c>
      <c r="U465" s="13" t="str">
        <f t="shared" si="36"/>
        <v>這道菜看起來很奇怪</v>
      </c>
      <c r="V465" s="13" t="str">
        <f t="shared" si="37"/>
        <v>這/菜/盤子/這/奇怪</v>
      </c>
      <c r="W465" s="13" t="str">
        <f t="shared" si="38"/>
        <v>是</v>
      </c>
      <c r="X465" s="13" t="str">
        <f t="shared" si="39"/>
        <v>通過</v>
      </c>
    </row>
    <row r="466" spans="1:24" ht="34" customHeight="1">
      <c r="A466" s="11" t="s">
        <v>2774</v>
      </c>
      <c r="B466" s="11" t="s">
        <v>2774</v>
      </c>
      <c r="C466" s="11" t="s">
        <v>54</v>
      </c>
      <c r="D466" s="11" t="s">
        <v>2775</v>
      </c>
      <c r="E466" s="11" t="s">
        <v>2776</v>
      </c>
      <c r="F466" s="11" t="s">
        <v>2777</v>
      </c>
      <c r="G466" s="11" t="s">
        <v>58</v>
      </c>
      <c r="H466" s="11" t="s">
        <v>2778</v>
      </c>
      <c r="I466" s="11" t="s">
        <v>2779</v>
      </c>
      <c r="J466" s="12" t="s">
        <v>8</v>
      </c>
      <c r="K466" s="12"/>
      <c r="L466" s="12"/>
      <c r="M466" s="12"/>
      <c r="N466" s="12"/>
      <c r="O466" s="12" t="s">
        <v>60</v>
      </c>
      <c r="P466" s="12"/>
      <c r="Q466" s="12"/>
      <c r="R466" s="12"/>
      <c r="S466" s="12"/>
      <c r="T466" s="13" t="str">
        <f t="shared" si="35"/>
        <v>通過</v>
      </c>
      <c r="U466" s="13" t="str">
        <f t="shared" si="36"/>
        <v>那裡有奇怪的人走來走去</v>
      </c>
      <c r="V466" s="13" t="str">
        <f t="shared" si="37"/>
        <v>那/人/奇怪/那/走來走去</v>
      </c>
      <c r="W466" s="13" t="str">
        <f t="shared" si="38"/>
        <v>是</v>
      </c>
      <c r="X466" s="13" t="str">
        <f t="shared" si="39"/>
        <v>通過</v>
      </c>
    </row>
    <row r="467" spans="1:24" ht="34" customHeight="1">
      <c r="A467" s="11" t="s">
        <v>2780</v>
      </c>
      <c r="B467" s="11" t="s">
        <v>2780</v>
      </c>
      <c r="C467" s="11" t="s">
        <v>54</v>
      </c>
      <c r="D467" s="11" t="s">
        <v>2781</v>
      </c>
      <c r="E467" s="11" t="s">
        <v>2782</v>
      </c>
      <c r="F467" s="11" t="s">
        <v>2783</v>
      </c>
      <c r="G467" s="11" t="s">
        <v>58</v>
      </c>
      <c r="H467" s="11" t="s">
        <v>2784</v>
      </c>
      <c r="I467" s="11" t="s">
        <v>2785</v>
      </c>
      <c r="J467" s="12" t="s">
        <v>8</v>
      </c>
      <c r="K467" s="12"/>
      <c r="L467" s="12"/>
      <c r="M467" s="12"/>
      <c r="N467" s="12"/>
      <c r="O467" s="12" t="s">
        <v>60</v>
      </c>
      <c r="P467" s="12"/>
      <c r="Q467" s="12"/>
      <c r="R467" s="12"/>
      <c r="S467" s="12"/>
      <c r="T467" s="13" t="str">
        <f t="shared" si="35"/>
        <v>通過</v>
      </c>
      <c r="U467" s="13" t="str">
        <f t="shared" si="36"/>
        <v>放學後，學生都回家了</v>
      </c>
      <c r="V467" s="13" t="str">
        <f t="shared" si="37"/>
        <v>讀書/解散/學生/他們/回家</v>
      </c>
      <c r="W467" s="13" t="str">
        <f t="shared" si="38"/>
        <v>是</v>
      </c>
      <c r="X467" s="13" t="str">
        <f t="shared" si="39"/>
        <v>通過</v>
      </c>
    </row>
    <row r="468" spans="1:24" ht="34" customHeight="1">
      <c r="A468" s="11" t="s">
        <v>2786</v>
      </c>
      <c r="B468" s="11" t="s">
        <v>2786</v>
      </c>
      <c r="C468" s="11" t="s">
        <v>54</v>
      </c>
      <c r="D468" s="11" t="s">
        <v>2781</v>
      </c>
      <c r="E468" s="11" t="s">
        <v>2787</v>
      </c>
      <c r="F468" s="11" t="s">
        <v>2788</v>
      </c>
      <c r="G468" s="11" t="s">
        <v>58</v>
      </c>
      <c r="H468" s="11" t="s">
        <v>2789</v>
      </c>
      <c r="I468" s="11" t="s">
        <v>2790</v>
      </c>
      <c r="J468" s="12" t="s">
        <v>8</v>
      </c>
      <c r="K468" s="12"/>
      <c r="L468" s="12"/>
      <c r="M468" s="12"/>
      <c r="N468" s="12"/>
      <c r="O468" s="12" t="s">
        <v>60</v>
      </c>
      <c r="P468" s="12"/>
      <c r="Q468" s="12"/>
      <c r="R468" s="12"/>
      <c r="S468" s="12"/>
      <c r="T468" s="13" t="str">
        <f t="shared" si="35"/>
        <v>通過</v>
      </c>
      <c r="U468" s="13" t="str">
        <f t="shared" si="36"/>
        <v>所有的學生都喜歡那個老師</v>
      </c>
      <c r="V468" s="13" t="str">
        <f t="shared" si="37"/>
        <v>這/老師/他們/學生/全部/喜歡/他</v>
      </c>
      <c r="W468" s="13" t="str">
        <f t="shared" si="38"/>
        <v>是</v>
      </c>
      <c r="X468" s="13" t="str">
        <f t="shared" si="39"/>
        <v>通過</v>
      </c>
    </row>
    <row r="469" spans="1:24" ht="34" customHeight="1">
      <c r="A469" s="11" t="s">
        <v>2791</v>
      </c>
      <c r="B469" s="11" t="s">
        <v>2791</v>
      </c>
      <c r="C469" s="11" t="s">
        <v>54</v>
      </c>
      <c r="D469" s="11" t="s">
        <v>2792</v>
      </c>
      <c r="E469" s="11" t="s">
        <v>2793</v>
      </c>
      <c r="F469" s="11" t="s">
        <v>2794</v>
      </c>
      <c r="G469" s="11" t="s">
        <v>58</v>
      </c>
      <c r="H469" s="11" t="s">
        <v>2795</v>
      </c>
      <c r="I469" s="11" t="s">
        <v>2796</v>
      </c>
      <c r="J469" s="12" t="s">
        <v>8</v>
      </c>
      <c r="K469" s="12"/>
      <c r="L469" s="12"/>
      <c r="M469" s="12"/>
      <c r="N469" s="12"/>
      <c r="O469" s="12" t="s">
        <v>60</v>
      </c>
      <c r="P469" s="12"/>
      <c r="Q469" s="12"/>
      <c r="R469" s="12"/>
      <c r="S469" s="12"/>
      <c r="T469" s="13" t="str">
        <f t="shared" si="35"/>
        <v>通過</v>
      </c>
      <c r="U469" s="13" t="str">
        <f t="shared" si="36"/>
        <v>他今天替我代班</v>
      </c>
      <c r="V469" s="13" t="str">
        <f t="shared" si="37"/>
        <v>他/今天/幫我/代替/工作</v>
      </c>
      <c r="W469" s="13" t="str">
        <f t="shared" si="38"/>
        <v>是</v>
      </c>
      <c r="X469" s="13" t="str">
        <f t="shared" si="39"/>
        <v>通過</v>
      </c>
    </row>
    <row r="470" spans="1:24" ht="34" customHeight="1">
      <c r="A470" s="11" t="s">
        <v>2797</v>
      </c>
      <c r="B470" s="11" t="s">
        <v>2797</v>
      </c>
      <c r="C470" s="11" t="s">
        <v>54</v>
      </c>
      <c r="D470" s="11" t="s">
        <v>2798</v>
      </c>
      <c r="E470" s="11" t="s">
        <v>2799</v>
      </c>
      <c r="F470" s="11" t="s">
        <v>2800</v>
      </c>
      <c r="G470" s="11" t="s">
        <v>58</v>
      </c>
      <c r="H470" s="11" t="s">
        <v>2801</v>
      </c>
      <c r="I470" s="11" t="s">
        <v>2802</v>
      </c>
      <c r="J470" s="12" t="s">
        <v>8</v>
      </c>
      <c r="K470" s="12"/>
      <c r="L470" s="12"/>
      <c r="M470" s="12"/>
      <c r="N470" s="12"/>
      <c r="O470" s="12" t="s">
        <v>60</v>
      </c>
      <c r="P470" s="12"/>
      <c r="Q470" s="12"/>
      <c r="R470" s="12"/>
      <c r="S470" s="12"/>
      <c r="T470" s="13" t="str">
        <f t="shared" si="35"/>
        <v>通過</v>
      </c>
      <c r="U470" s="13" t="str">
        <f t="shared" si="36"/>
        <v>忽然下了雨，把每個人都淋溼了</v>
      </c>
      <c r="V470" s="13" t="str">
        <f t="shared" si="37"/>
        <v>忽然/下雨/人/這些/淋濕</v>
      </c>
      <c r="W470" s="13" t="str">
        <f t="shared" si="38"/>
        <v>是</v>
      </c>
      <c r="X470" s="13" t="str">
        <f t="shared" si="39"/>
        <v>通過</v>
      </c>
    </row>
    <row r="471" spans="1:24" ht="34" customHeight="1">
      <c r="A471" s="11" t="s">
        <v>2803</v>
      </c>
      <c r="B471" s="11" t="s">
        <v>2803</v>
      </c>
      <c r="C471" s="11" t="s">
        <v>54</v>
      </c>
      <c r="D471" s="11" t="s">
        <v>2804</v>
      </c>
      <c r="E471" s="11" t="s">
        <v>2805</v>
      </c>
      <c r="F471" s="11" t="s">
        <v>2806</v>
      </c>
      <c r="G471" s="11" t="s">
        <v>58</v>
      </c>
      <c r="H471" s="11" t="s">
        <v>2807</v>
      </c>
      <c r="I471" s="11" t="s">
        <v>2808</v>
      </c>
      <c r="J471" s="12" t="s">
        <v>8</v>
      </c>
      <c r="K471" s="12"/>
      <c r="L471" s="12"/>
      <c r="M471" s="12"/>
      <c r="N471" s="12"/>
      <c r="O471" s="12" t="s">
        <v>60</v>
      </c>
      <c r="P471" s="12"/>
      <c r="Q471" s="12"/>
      <c r="R471" s="12"/>
      <c r="S471" s="12"/>
      <c r="T471" s="13" t="str">
        <f t="shared" si="35"/>
        <v>通過</v>
      </c>
      <c r="U471" s="13" t="str">
        <f t="shared" si="36"/>
        <v>我不喜歡甜食</v>
      </c>
      <c r="V471" s="13" t="str">
        <f t="shared" si="37"/>
        <v>吃/甜/吃/我/不喜歡</v>
      </c>
      <c r="W471" s="13" t="str">
        <f t="shared" si="38"/>
        <v>是</v>
      </c>
      <c r="X471" s="13" t="str">
        <f t="shared" si="39"/>
        <v>通過</v>
      </c>
    </row>
    <row r="472" spans="1:24" ht="34" customHeight="1">
      <c r="A472" s="11" t="s">
        <v>2809</v>
      </c>
      <c r="B472" s="11" t="s">
        <v>2809</v>
      </c>
      <c r="C472" s="11" t="s">
        <v>54</v>
      </c>
      <c r="D472" s="11" t="s">
        <v>2810</v>
      </c>
      <c r="E472" s="11" t="s">
        <v>2811</v>
      </c>
      <c r="F472" s="11" t="s">
        <v>2812</v>
      </c>
      <c r="G472" s="11" t="s">
        <v>58</v>
      </c>
      <c r="H472" s="11" t="s">
        <v>2813</v>
      </c>
      <c r="I472" s="11" t="s">
        <v>2814</v>
      </c>
      <c r="J472" s="12" t="s">
        <v>8</v>
      </c>
      <c r="K472" s="12"/>
      <c r="L472" s="12"/>
      <c r="M472" s="12"/>
      <c r="N472" s="12"/>
      <c r="O472" s="12" t="s">
        <v>60</v>
      </c>
      <c r="P472" s="12"/>
      <c r="Q472" s="12"/>
      <c r="R472" s="12"/>
      <c r="S472" s="12"/>
      <c r="T472" s="13" t="str">
        <f t="shared" si="35"/>
        <v>通過</v>
      </c>
      <c r="U472" s="13" t="str">
        <f t="shared" si="36"/>
        <v>這封信請記得交給他</v>
      </c>
      <c r="V472" s="13" t="str">
        <f t="shared" si="37"/>
        <v>這/信/張/信/給/他/記得</v>
      </c>
      <c r="W472" s="13" t="str">
        <f t="shared" si="38"/>
        <v>是</v>
      </c>
      <c r="X472" s="13" t="str">
        <f t="shared" si="39"/>
        <v>通過</v>
      </c>
    </row>
    <row r="473" spans="1:24" ht="34" customHeight="1">
      <c r="A473" s="11" t="s">
        <v>2815</v>
      </c>
      <c r="B473" s="11" t="s">
        <v>2815</v>
      </c>
      <c r="C473" s="11" t="s">
        <v>54</v>
      </c>
      <c r="D473" s="11" t="s">
        <v>2816</v>
      </c>
      <c r="E473" s="11" t="s">
        <v>2817</v>
      </c>
      <c r="F473" s="11" t="s">
        <v>2818</v>
      </c>
      <c r="G473" s="11" t="s">
        <v>58</v>
      </c>
      <c r="H473" s="11" t="s">
        <v>2819</v>
      </c>
      <c r="I473" s="11" t="s">
        <v>2820</v>
      </c>
      <c r="J473" s="12" t="s">
        <v>8</v>
      </c>
      <c r="K473" s="12"/>
      <c r="L473" s="12"/>
      <c r="M473" s="12"/>
      <c r="N473" s="12"/>
      <c r="O473" s="12" t="s">
        <v>60</v>
      </c>
      <c r="P473" s="12"/>
      <c r="Q473" s="12"/>
      <c r="R473" s="12"/>
      <c r="S473" s="12"/>
      <c r="T473" s="13" t="str">
        <f t="shared" si="35"/>
        <v>通過</v>
      </c>
      <c r="U473" s="13" t="str">
        <f t="shared" si="36"/>
        <v>旅館提供舒服的床</v>
      </c>
      <c r="V473" s="13" t="str">
        <f t="shared" si="37"/>
        <v>舒服/床/舒服/那/旅館/那/負責/提供</v>
      </c>
      <c r="W473" s="13" t="str">
        <f t="shared" si="38"/>
        <v>是</v>
      </c>
      <c r="X473" s="13" t="str">
        <f t="shared" si="39"/>
        <v>通過</v>
      </c>
    </row>
    <row r="474" spans="1:24" ht="34" customHeight="1">
      <c r="A474" s="11" t="s">
        <v>2821</v>
      </c>
      <c r="B474" s="11" t="s">
        <v>2821</v>
      </c>
      <c r="C474" s="11" t="s">
        <v>54</v>
      </c>
      <c r="D474" s="11" t="s">
        <v>2822</v>
      </c>
      <c r="E474" s="11" t="s">
        <v>1233</v>
      </c>
      <c r="F474" s="11" t="s">
        <v>2823</v>
      </c>
      <c r="G474" s="11" t="s">
        <v>58</v>
      </c>
      <c r="H474" s="11" t="s">
        <v>2824</v>
      </c>
      <c r="I474" s="11" t="s">
        <v>2825</v>
      </c>
      <c r="J474" s="12" t="s">
        <v>8</v>
      </c>
      <c r="K474" s="12"/>
      <c r="L474" s="12"/>
      <c r="M474" s="12"/>
      <c r="N474" s="12"/>
      <c r="O474" s="12" t="s">
        <v>60</v>
      </c>
      <c r="P474" s="12"/>
      <c r="Q474" s="12"/>
      <c r="R474" s="12"/>
      <c r="S474" s="12"/>
      <c r="T474" s="13" t="str">
        <f t="shared" si="35"/>
        <v>通過</v>
      </c>
      <c r="U474" s="13" t="str">
        <f t="shared" si="36"/>
        <v>每天游泳對身體很好</v>
      </c>
      <c r="V474" s="13" t="str">
        <f t="shared" si="37"/>
        <v>每天/游泳/對/身體/棒</v>
      </c>
      <c r="W474" s="13" t="str">
        <f t="shared" si="38"/>
        <v>是</v>
      </c>
      <c r="X474" s="13" t="str">
        <f t="shared" si="39"/>
        <v>通過</v>
      </c>
    </row>
    <row r="475" spans="1:24" ht="34" customHeight="1">
      <c r="A475" s="11" t="s">
        <v>2826</v>
      </c>
      <c r="B475" s="11" t="s">
        <v>2826</v>
      </c>
      <c r="C475" s="11" t="s">
        <v>54</v>
      </c>
      <c r="D475" s="11" t="s">
        <v>2827</v>
      </c>
      <c r="E475" s="11" t="s">
        <v>2828</v>
      </c>
      <c r="F475" s="11" t="s">
        <v>2829</v>
      </c>
      <c r="G475" s="11" t="s">
        <v>58</v>
      </c>
      <c r="H475" s="11" t="s">
        <v>2830</v>
      </c>
      <c r="I475" s="11" t="s">
        <v>2831</v>
      </c>
      <c r="J475" s="12" t="s">
        <v>8</v>
      </c>
      <c r="K475" s="12"/>
      <c r="L475" s="12"/>
      <c r="M475" s="12"/>
      <c r="N475" s="12"/>
      <c r="O475" s="12" t="s">
        <v>60</v>
      </c>
      <c r="P475" s="12"/>
      <c r="Q475" s="12"/>
      <c r="R475" s="12"/>
      <c r="S475" s="12"/>
      <c r="T475" s="13" t="str">
        <f t="shared" si="35"/>
        <v>通過</v>
      </c>
      <c r="U475" s="13" t="str">
        <f t="shared" si="36"/>
        <v>桌上的瓶子插著一朵花</v>
      </c>
      <c r="V475" s="13" t="str">
        <f t="shared" si="37"/>
        <v>桌子/這/花瓶/花/放</v>
      </c>
      <c r="W475" s="13" t="str">
        <f t="shared" si="38"/>
        <v>是</v>
      </c>
      <c r="X475" s="13" t="str">
        <f t="shared" si="39"/>
        <v>通過</v>
      </c>
    </row>
    <row r="476" spans="1:24" ht="34" customHeight="1">
      <c r="A476" s="11" t="s">
        <v>2832</v>
      </c>
      <c r="B476" s="11" t="s">
        <v>2832</v>
      </c>
      <c r="C476" s="11" t="s">
        <v>54</v>
      </c>
      <c r="D476" s="11" t="s">
        <v>2833</v>
      </c>
      <c r="E476" s="11" t="s">
        <v>2834</v>
      </c>
      <c r="F476" s="11" t="s">
        <v>2835</v>
      </c>
      <c r="G476" s="11" t="s">
        <v>58</v>
      </c>
      <c r="H476" s="11" t="s">
        <v>2836</v>
      </c>
      <c r="I476" s="11" t="s">
        <v>2837</v>
      </c>
      <c r="J476" s="12" t="s">
        <v>8</v>
      </c>
      <c r="K476" s="12"/>
      <c r="L476" s="12"/>
      <c r="M476" s="12"/>
      <c r="N476" s="12"/>
      <c r="O476" s="12" t="s">
        <v>60</v>
      </c>
      <c r="P476" s="12"/>
      <c r="Q476" s="12"/>
      <c r="R476" s="12"/>
      <c r="S476" s="12"/>
      <c r="T476" s="13" t="str">
        <f t="shared" si="35"/>
        <v>通過</v>
      </c>
      <c r="U476" s="13" t="str">
        <f t="shared" si="36"/>
        <v>我是最後一個交作業的人</v>
      </c>
      <c r="V476" s="13" t="str">
        <f t="shared" si="37"/>
        <v>你們/表格/寫/交/完成/我/最後</v>
      </c>
      <c r="W476" s="13" t="str">
        <f t="shared" si="38"/>
        <v>是</v>
      </c>
      <c r="X476" s="13" t="str">
        <f t="shared" si="39"/>
        <v>通過</v>
      </c>
    </row>
    <row r="477" spans="1:24" ht="34" customHeight="1">
      <c r="A477" s="11" t="s">
        <v>2838</v>
      </c>
      <c r="B477" s="11" t="s">
        <v>2838</v>
      </c>
      <c r="C477" s="11" t="s">
        <v>54</v>
      </c>
      <c r="D477" s="11" t="s">
        <v>2839</v>
      </c>
      <c r="E477" s="11" t="s">
        <v>1864</v>
      </c>
      <c r="F477" s="11" t="s">
        <v>2840</v>
      </c>
      <c r="G477" s="11" t="s">
        <v>58</v>
      </c>
      <c r="H477" s="11" t="s">
        <v>2841</v>
      </c>
      <c r="I477" s="11" t="s">
        <v>2842</v>
      </c>
      <c r="J477" s="12" t="s">
        <v>8</v>
      </c>
      <c r="K477" s="12"/>
      <c r="L477" s="12"/>
      <c r="M477" s="12"/>
      <c r="N477" s="12"/>
      <c r="O477" s="12" t="s">
        <v>60</v>
      </c>
      <c r="P477" s="12"/>
      <c r="Q477" s="12"/>
      <c r="R477" s="12"/>
      <c r="S477" s="12"/>
      <c r="T477" s="13" t="str">
        <f t="shared" si="35"/>
        <v>通過</v>
      </c>
      <c r="U477" s="13" t="str">
        <f t="shared" si="36"/>
        <v>我住在台北</v>
      </c>
      <c r="V477" s="13" t="str">
        <f t="shared" si="37"/>
        <v>我/家/台北</v>
      </c>
      <c r="W477" s="13" t="str">
        <f t="shared" si="38"/>
        <v>是</v>
      </c>
      <c r="X477" s="13" t="str">
        <f t="shared" si="39"/>
        <v>通過</v>
      </c>
    </row>
    <row r="478" spans="1:24" ht="34" customHeight="1">
      <c r="A478" s="11" t="s">
        <v>2843</v>
      </c>
      <c r="B478" s="11" t="s">
        <v>2843</v>
      </c>
      <c r="C478" s="11" t="s">
        <v>54</v>
      </c>
      <c r="D478" s="11" t="s">
        <v>2844</v>
      </c>
      <c r="E478" s="11" t="s">
        <v>2135</v>
      </c>
      <c r="F478" s="11" t="s">
        <v>2845</v>
      </c>
      <c r="G478" s="11" t="s">
        <v>58</v>
      </c>
      <c r="H478" s="11" t="s">
        <v>2846</v>
      </c>
      <c r="I478" s="11" t="s">
        <v>2847</v>
      </c>
      <c r="J478" s="12" t="s">
        <v>8</v>
      </c>
      <c r="K478" s="12"/>
      <c r="L478" s="12"/>
      <c r="M478" s="12"/>
      <c r="N478" s="12"/>
      <c r="O478" s="12" t="s">
        <v>60</v>
      </c>
      <c r="P478" s="12"/>
      <c r="Q478" s="12"/>
      <c r="R478" s="12"/>
      <c r="S478" s="12"/>
      <c r="T478" s="13" t="str">
        <f t="shared" si="35"/>
        <v>通過</v>
      </c>
      <c r="U478" s="13" t="str">
        <f t="shared" si="36"/>
        <v>台灣護士的專業能力很強</v>
      </c>
      <c r="V478" s="13" t="str">
        <f t="shared" si="37"/>
        <v>台灣/護士/專/業/強/技術/棒</v>
      </c>
      <c r="W478" s="13" t="str">
        <f t="shared" si="38"/>
        <v>是</v>
      </c>
      <c r="X478" s="13" t="str">
        <f t="shared" si="39"/>
        <v>通過</v>
      </c>
    </row>
    <row r="479" spans="1:24" ht="34" customHeight="1">
      <c r="A479" s="11" t="s">
        <v>2848</v>
      </c>
      <c r="B479" s="11" t="s">
        <v>2848</v>
      </c>
      <c r="C479" s="11" t="s">
        <v>54</v>
      </c>
      <c r="D479" s="11" t="s">
        <v>2849</v>
      </c>
      <c r="E479" s="11" t="s">
        <v>2850</v>
      </c>
      <c r="F479" s="11" t="s">
        <v>2851</v>
      </c>
      <c r="G479" s="11" t="s">
        <v>58</v>
      </c>
      <c r="H479" s="11" t="s">
        <v>2852</v>
      </c>
      <c r="I479" s="11" t="s">
        <v>2853</v>
      </c>
      <c r="J479" s="12" t="s">
        <v>8</v>
      </c>
      <c r="K479" s="12"/>
      <c r="L479" s="12"/>
      <c r="M479" s="12"/>
      <c r="N479" s="12"/>
      <c r="O479" s="12" t="s">
        <v>60</v>
      </c>
      <c r="P479" s="12"/>
      <c r="Q479" s="12"/>
      <c r="R479" s="12"/>
      <c r="S479" s="12"/>
      <c r="T479" s="13" t="str">
        <f t="shared" si="35"/>
        <v>通過</v>
      </c>
      <c r="U479" s="13" t="str">
        <f t="shared" si="36"/>
        <v>他拿了我的小提琴</v>
      </c>
      <c r="V479" s="13" t="str">
        <f t="shared" si="37"/>
        <v>我/小提琴/他/拿</v>
      </c>
      <c r="W479" s="13" t="str">
        <f t="shared" si="38"/>
        <v>是</v>
      </c>
      <c r="X479" s="13" t="str">
        <f t="shared" si="39"/>
        <v>通過</v>
      </c>
    </row>
    <row r="480" spans="1:24" ht="34" customHeight="1">
      <c r="A480" s="11" t="s">
        <v>2854</v>
      </c>
      <c r="B480" s="11" t="s">
        <v>2854</v>
      </c>
      <c r="C480" s="11" t="s">
        <v>54</v>
      </c>
      <c r="D480" s="11" t="s">
        <v>2855</v>
      </c>
      <c r="E480" s="11" t="s">
        <v>2856</v>
      </c>
      <c r="F480" s="11" t="s">
        <v>2857</v>
      </c>
      <c r="G480" s="11" t="s">
        <v>58</v>
      </c>
      <c r="H480" s="11" t="s">
        <v>2858</v>
      </c>
      <c r="I480" s="11" t="s">
        <v>2859</v>
      </c>
      <c r="J480" s="12" t="s">
        <v>8</v>
      </c>
      <c r="K480" s="12"/>
      <c r="L480" s="12"/>
      <c r="M480" s="12"/>
      <c r="N480" s="12"/>
      <c r="O480" s="12" t="s">
        <v>60</v>
      </c>
      <c r="P480" s="12"/>
      <c r="Q480" s="12"/>
      <c r="R480" s="12"/>
      <c r="S480" s="12"/>
      <c r="T480" s="13" t="str">
        <f t="shared" si="35"/>
        <v>通過</v>
      </c>
      <c r="U480" s="13" t="str">
        <f t="shared" si="36"/>
        <v>你要好好照顧妹妹</v>
      </c>
      <c r="V480" s="13" t="str">
        <f t="shared" si="37"/>
        <v>妹妹/你/幫忙/照顧/要</v>
      </c>
      <c r="W480" s="13" t="str">
        <f t="shared" si="38"/>
        <v>是</v>
      </c>
      <c r="X480" s="13" t="str">
        <f t="shared" si="39"/>
        <v>通過</v>
      </c>
    </row>
    <row r="481" spans="1:24" ht="34" customHeight="1">
      <c r="A481" s="11" t="s">
        <v>2860</v>
      </c>
      <c r="B481" s="11" t="s">
        <v>2860</v>
      </c>
      <c r="C481" s="11" t="s">
        <v>54</v>
      </c>
      <c r="D481" s="11" t="s">
        <v>2861</v>
      </c>
      <c r="E481" s="11" t="s">
        <v>2862</v>
      </c>
      <c r="F481" s="11" t="s">
        <v>2863</v>
      </c>
      <c r="G481" s="11" t="s">
        <v>58</v>
      </c>
      <c r="H481" s="11" t="s">
        <v>2864</v>
      </c>
      <c r="I481" s="11" t="s">
        <v>2865</v>
      </c>
      <c r="J481" s="12" t="s">
        <v>8</v>
      </c>
      <c r="K481" s="12"/>
      <c r="L481" s="12"/>
      <c r="M481" s="12"/>
      <c r="N481" s="12"/>
      <c r="O481" s="12" t="s">
        <v>60</v>
      </c>
      <c r="P481" s="12"/>
      <c r="Q481" s="12"/>
      <c r="R481" s="12"/>
      <c r="S481" s="12"/>
      <c r="T481" s="13" t="str">
        <f t="shared" si="35"/>
        <v>通過</v>
      </c>
      <c r="U481" s="13" t="str">
        <f t="shared" si="36"/>
        <v>請勿喧嘩，我們正在錄音</v>
      </c>
      <c r="V481" s="13" t="str">
        <f t="shared" si="37"/>
        <v>吵鬧/不/我們/錄音</v>
      </c>
      <c r="W481" s="13" t="str">
        <f t="shared" si="38"/>
        <v>是</v>
      </c>
      <c r="X481" s="13" t="str">
        <f t="shared" si="39"/>
        <v>通過</v>
      </c>
    </row>
    <row r="482" spans="1:24" ht="34" customHeight="1">
      <c r="A482" s="11" t="s">
        <v>2866</v>
      </c>
      <c r="B482" s="11" t="s">
        <v>2866</v>
      </c>
      <c r="C482" s="11" t="s">
        <v>54</v>
      </c>
      <c r="D482" s="11" t="s">
        <v>2867</v>
      </c>
      <c r="E482" s="11" t="s">
        <v>2868</v>
      </c>
      <c r="F482" s="11" t="s">
        <v>2869</v>
      </c>
      <c r="G482" s="11" t="s">
        <v>58</v>
      </c>
      <c r="H482" s="11" t="s">
        <v>2870</v>
      </c>
      <c r="I482" s="11" t="s">
        <v>2871</v>
      </c>
      <c r="J482" s="12" t="s">
        <v>8</v>
      </c>
      <c r="K482" s="12"/>
      <c r="L482" s="12"/>
      <c r="M482" s="12"/>
      <c r="N482" s="12"/>
      <c r="O482" s="12" t="s">
        <v>60</v>
      </c>
      <c r="P482" s="12"/>
      <c r="Q482" s="12"/>
      <c r="R482" s="12"/>
      <c r="S482" s="12"/>
      <c r="T482" s="13" t="str">
        <f t="shared" si="35"/>
        <v>通過</v>
      </c>
      <c r="U482" s="13" t="str">
        <f t="shared" si="36"/>
        <v>我們遲到了，坐計程車去吧</v>
      </c>
      <c r="V482" s="13" t="str">
        <f t="shared" si="37"/>
        <v>我們/遲到/去/計程車/離開</v>
      </c>
      <c r="W482" s="13" t="str">
        <f t="shared" si="38"/>
        <v>是</v>
      </c>
      <c r="X482" s="13" t="str">
        <f t="shared" si="39"/>
        <v>通過</v>
      </c>
    </row>
    <row r="483" spans="1:24" ht="34" customHeight="1">
      <c r="A483" s="11" t="s">
        <v>2872</v>
      </c>
      <c r="B483" s="11" t="s">
        <v>2872</v>
      </c>
      <c r="C483" s="11" t="s">
        <v>54</v>
      </c>
      <c r="D483" s="11" t="s">
        <v>2873</v>
      </c>
      <c r="E483" s="11" t="s">
        <v>1756</v>
      </c>
      <c r="F483" s="11" t="s">
        <v>2874</v>
      </c>
      <c r="G483" s="11" t="s">
        <v>58</v>
      </c>
      <c r="H483" s="11" t="s">
        <v>2875</v>
      </c>
      <c r="I483" s="11" t="s">
        <v>2876</v>
      </c>
      <c r="J483" s="12" t="s">
        <v>8</v>
      </c>
      <c r="K483" s="12"/>
      <c r="L483" s="12"/>
      <c r="M483" s="12"/>
      <c r="N483" s="12"/>
      <c r="O483" s="12" t="s">
        <v>60</v>
      </c>
      <c r="P483" s="12"/>
      <c r="Q483" s="12"/>
      <c r="R483" s="12"/>
      <c r="S483" s="12"/>
      <c r="T483" s="13" t="str">
        <f t="shared" si="35"/>
        <v>通過</v>
      </c>
      <c r="U483" s="13" t="str">
        <f t="shared" si="36"/>
        <v>老師的主要工作是教學</v>
      </c>
      <c r="V483" s="13" t="str">
        <f t="shared" si="37"/>
        <v>老師/正/工作/什麼/書/教</v>
      </c>
      <c r="W483" s="13" t="str">
        <f t="shared" si="38"/>
        <v>是</v>
      </c>
      <c r="X483" s="13" t="str">
        <f t="shared" si="39"/>
        <v>通過</v>
      </c>
    </row>
    <row r="484" spans="1:24" ht="34" customHeight="1">
      <c r="A484" s="11" t="s">
        <v>2877</v>
      </c>
      <c r="B484" s="11" t="s">
        <v>2877</v>
      </c>
      <c r="C484" s="11" t="s">
        <v>54</v>
      </c>
      <c r="D484" s="11" t="s">
        <v>2878</v>
      </c>
      <c r="E484" s="11" t="s">
        <v>2879</v>
      </c>
      <c r="F484" s="11" t="s">
        <v>2880</v>
      </c>
      <c r="G484" s="11" t="s">
        <v>58</v>
      </c>
      <c r="H484" s="11" t="s">
        <v>2881</v>
      </c>
      <c r="I484" s="11" t="s">
        <v>2882</v>
      </c>
      <c r="J484" s="12" t="s">
        <v>8</v>
      </c>
      <c r="K484" s="12"/>
      <c r="L484" s="12"/>
      <c r="M484" s="12"/>
      <c r="N484" s="12"/>
      <c r="O484" s="12" t="s">
        <v>60</v>
      </c>
      <c r="P484" s="12"/>
      <c r="Q484" s="12"/>
      <c r="R484" s="12"/>
      <c r="S484" s="12"/>
      <c r="T484" s="13" t="str">
        <f t="shared" si="35"/>
        <v>通過</v>
      </c>
      <c r="U484" s="13" t="str">
        <f t="shared" si="36"/>
        <v>我的老師是台中人</v>
      </c>
      <c r="V484" s="13" t="str">
        <f t="shared" si="37"/>
        <v>我/老師/台中/人</v>
      </c>
      <c r="W484" s="13" t="str">
        <f t="shared" si="38"/>
        <v>是</v>
      </c>
      <c r="X484" s="13" t="str">
        <f t="shared" si="39"/>
        <v>通過</v>
      </c>
    </row>
    <row r="485" spans="1:24" ht="34" customHeight="1">
      <c r="A485" s="11" t="s">
        <v>2883</v>
      </c>
      <c r="B485" s="11" t="s">
        <v>2883</v>
      </c>
      <c r="C485" s="11" t="s">
        <v>54</v>
      </c>
      <c r="D485" s="11" t="s">
        <v>2884</v>
      </c>
      <c r="E485" s="11" t="s">
        <v>2885</v>
      </c>
      <c r="F485" s="11" t="s">
        <v>2886</v>
      </c>
      <c r="G485" s="11" t="s">
        <v>58</v>
      </c>
      <c r="H485" s="11" t="s">
        <v>2887</v>
      </c>
      <c r="I485" s="11" t="s">
        <v>2888</v>
      </c>
      <c r="J485" s="12" t="s">
        <v>8</v>
      </c>
      <c r="K485" s="12"/>
      <c r="L485" s="12"/>
      <c r="M485" s="12"/>
      <c r="N485" s="12"/>
      <c r="O485" s="12" t="s">
        <v>60</v>
      </c>
      <c r="P485" s="12"/>
      <c r="Q485" s="12"/>
      <c r="R485" s="12"/>
      <c r="S485" s="12"/>
      <c r="T485" s="13" t="str">
        <f t="shared" si="35"/>
        <v>通過</v>
      </c>
      <c r="U485" s="13" t="str">
        <f t="shared" si="36"/>
        <v>我本來是老師</v>
      </c>
      <c r="V485" s="13" t="str">
        <f t="shared" si="37"/>
        <v>我/原來/老師</v>
      </c>
      <c r="W485" s="13" t="str">
        <f t="shared" si="38"/>
        <v>是</v>
      </c>
      <c r="X485" s="13" t="str">
        <f t="shared" si="39"/>
        <v>通過</v>
      </c>
    </row>
    <row r="486" spans="1:24" ht="34" customHeight="1">
      <c r="A486" s="11" t="s">
        <v>2889</v>
      </c>
      <c r="B486" s="11" t="s">
        <v>2889</v>
      </c>
      <c r="C486" s="11" t="s">
        <v>54</v>
      </c>
      <c r="D486" s="11" t="s">
        <v>2890</v>
      </c>
      <c r="E486" s="11" t="s">
        <v>2891</v>
      </c>
      <c r="F486" s="11" t="s">
        <v>2892</v>
      </c>
      <c r="G486" s="11" t="s">
        <v>58</v>
      </c>
      <c r="H486" s="11" t="s">
        <v>2893</v>
      </c>
      <c r="I486" s="11" t="s">
        <v>2894</v>
      </c>
      <c r="J486" s="12" t="s">
        <v>8</v>
      </c>
      <c r="K486" s="12"/>
      <c r="L486" s="12"/>
      <c r="M486" s="12"/>
      <c r="N486" s="12"/>
      <c r="O486" s="12" t="s">
        <v>60</v>
      </c>
      <c r="P486" s="12"/>
      <c r="Q486" s="12"/>
      <c r="R486" s="12"/>
      <c r="S486" s="12"/>
      <c r="T486" s="13" t="str">
        <f t="shared" si="35"/>
        <v>通過</v>
      </c>
      <c r="U486" s="13" t="str">
        <f t="shared" si="36"/>
        <v>他說我很漂亮</v>
      </c>
      <c r="V486" s="13" t="str">
        <f t="shared" si="37"/>
        <v>他/告訴/我/漂亮</v>
      </c>
      <c r="W486" s="13" t="str">
        <f t="shared" si="38"/>
        <v>是</v>
      </c>
      <c r="X486" s="13" t="str">
        <f t="shared" si="39"/>
        <v>通過</v>
      </c>
    </row>
    <row r="487" spans="1:24" ht="34" customHeight="1">
      <c r="A487" s="11" t="s">
        <v>2895</v>
      </c>
      <c r="B487" s="11" t="s">
        <v>2895</v>
      </c>
      <c r="C487" s="11" t="s">
        <v>54</v>
      </c>
      <c r="D487" s="11" t="s">
        <v>2890</v>
      </c>
      <c r="E487" s="11" t="s">
        <v>2896</v>
      </c>
      <c r="F487" s="11" t="s">
        <v>2897</v>
      </c>
      <c r="G487" s="11" t="s">
        <v>58</v>
      </c>
      <c r="H487" s="11" t="s">
        <v>2898</v>
      </c>
      <c r="I487" s="11" t="s">
        <v>2899</v>
      </c>
      <c r="J487" s="12" t="s">
        <v>8</v>
      </c>
      <c r="K487" s="12"/>
      <c r="L487" s="12"/>
      <c r="M487" s="12"/>
      <c r="N487" s="12"/>
      <c r="O487" s="12" t="s">
        <v>60</v>
      </c>
      <c r="P487" s="12"/>
      <c r="Q487" s="12"/>
      <c r="R487" s="12"/>
      <c r="S487" s="12"/>
      <c r="T487" s="13" t="str">
        <f t="shared" si="35"/>
        <v>通過</v>
      </c>
      <c r="U487" s="13" t="str">
        <f t="shared" si="36"/>
        <v>他說會永遠愛我</v>
      </c>
      <c r="V487" s="13" t="str">
        <f t="shared" si="37"/>
        <v>他/告訴我/愛/我/整天</v>
      </c>
      <c r="W487" s="13" t="str">
        <f t="shared" si="38"/>
        <v>是</v>
      </c>
      <c r="X487" s="13" t="str">
        <f t="shared" si="39"/>
        <v>通過</v>
      </c>
    </row>
    <row r="488" spans="1:24" ht="34" customHeight="1">
      <c r="A488" s="11" t="s">
        <v>2900</v>
      </c>
      <c r="B488" s="11" t="s">
        <v>2900</v>
      </c>
      <c r="C488" s="11" t="s">
        <v>54</v>
      </c>
      <c r="D488" s="11" t="s">
        <v>2901</v>
      </c>
      <c r="E488" s="11" t="s">
        <v>2902</v>
      </c>
      <c r="F488" s="11" t="s">
        <v>2903</v>
      </c>
      <c r="G488" s="11" t="s">
        <v>58</v>
      </c>
      <c r="H488" s="11" t="s">
        <v>2904</v>
      </c>
      <c r="I488" s="11" t="s">
        <v>2905</v>
      </c>
      <c r="J488" s="12" t="s">
        <v>8</v>
      </c>
      <c r="K488" s="12"/>
      <c r="L488" s="12"/>
      <c r="M488" s="12"/>
      <c r="N488" s="12"/>
      <c r="O488" s="12" t="s">
        <v>60</v>
      </c>
      <c r="P488" s="12"/>
      <c r="Q488" s="12"/>
      <c r="R488" s="12"/>
      <c r="S488" s="12"/>
      <c r="T488" s="13" t="str">
        <f t="shared" si="35"/>
        <v>通過</v>
      </c>
      <c r="U488" s="13" t="str">
        <f t="shared" si="36"/>
        <v>新的手機要一萬元</v>
      </c>
      <c r="V488" s="13" t="str">
        <f t="shared" si="37"/>
        <v>手機/新/錢/一/萬</v>
      </c>
      <c r="W488" s="13" t="str">
        <f t="shared" si="38"/>
        <v>是</v>
      </c>
      <c r="X488" s="13" t="str">
        <f t="shared" si="39"/>
        <v>通過</v>
      </c>
    </row>
    <row r="489" spans="1:24" ht="34" customHeight="1">
      <c r="A489" s="11" t="s">
        <v>2906</v>
      </c>
      <c r="B489" s="11" t="s">
        <v>2906</v>
      </c>
      <c r="C489" s="11" t="s">
        <v>54</v>
      </c>
      <c r="D489" s="11" t="s">
        <v>2907</v>
      </c>
      <c r="E489" s="11" t="s">
        <v>2908</v>
      </c>
      <c r="F489" s="11" t="s">
        <v>2909</v>
      </c>
      <c r="G489" s="11" t="s">
        <v>58</v>
      </c>
      <c r="H489" s="11" t="s">
        <v>2910</v>
      </c>
      <c r="I489" s="11" t="s">
        <v>2911</v>
      </c>
      <c r="J489" s="12" t="s">
        <v>8</v>
      </c>
      <c r="K489" s="12"/>
      <c r="L489" s="12"/>
      <c r="M489" s="12"/>
      <c r="N489" s="12"/>
      <c r="O489" s="12" t="s">
        <v>60</v>
      </c>
      <c r="P489" s="12"/>
      <c r="Q489" s="12"/>
      <c r="R489" s="12"/>
      <c r="S489" s="12"/>
      <c r="T489" s="13" t="str">
        <f t="shared" si="35"/>
        <v>通過</v>
      </c>
      <c r="U489" s="13" t="str">
        <f t="shared" si="36"/>
        <v>今天要考英文</v>
      </c>
      <c r="V489" s="13" t="str">
        <f t="shared" si="37"/>
        <v>今天/英文/考試S/要</v>
      </c>
      <c r="W489" s="13" t="str">
        <f t="shared" si="38"/>
        <v>是</v>
      </c>
      <c r="X489" s="13" t="str">
        <f t="shared" si="39"/>
        <v>通過</v>
      </c>
    </row>
    <row r="490" spans="1:24" ht="34" customHeight="1">
      <c r="A490" s="11" t="s">
        <v>2912</v>
      </c>
      <c r="B490" s="11" t="s">
        <v>2912</v>
      </c>
      <c r="C490" s="11" t="s">
        <v>54</v>
      </c>
      <c r="D490" s="11" t="s">
        <v>2913</v>
      </c>
      <c r="E490" s="11" t="s">
        <v>2914</v>
      </c>
      <c r="F490" s="11" t="s">
        <v>2915</v>
      </c>
      <c r="G490" s="11" t="s">
        <v>58</v>
      </c>
      <c r="H490" s="11" t="s">
        <v>2916</v>
      </c>
      <c r="I490" s="11" t="s">
        <v>2917</v>
      </c>
      <c r="J490" s="12" t="s">
        <v>8</v>
      </c>
      <c r="K490" s="12"/>
      <c r="L490" s="12"/>
      <c r="M490" s="12"/>
      <c r="N490" s="12"/>
      <c r="O490" s="12" t="s">
        <v>60</v>
      </c>
      <c r="P490" s="12"/>
      <c r="Q490" s="12"/>
      <c r="R490" s="12"/>
      <c r="S490" s="12"/>
      <c r="T490" s="13" t="str">
        <f t="shared" si="35"/>
        <v>通過</v>
      </c>
      <c r="U490" s="13" t="str">
        <f t="shared" si="36"/>
        <v>謝謝你的幫忙</v>
      </c>
      <c r="V490" s="13" t="str">
        <f t="shared" si="37"/>
        <v>幫忙/謝謝</v>
      </c>
      <c r="W490" s="13" t="str">
        <f t="shared" si="38"/>
        <v>是</v>
      </c>
      <c r="X490" s="13" t="str">
        <f t="shared" si="39"/>
        <v>通過</v>
      </c>
    </row>
    <row r="491" spans="1:24" ht="34" customHeight="1">
      <c r="A491" s="11" t="s">
        <v>2918</v>
      </c>
      <c r="B491" s="11" t="s">
        <v>2918</v>
      </c>
      <c r="C491" s="11" t="s">
        <v>54</v>
      </c>
      <c r="D491" s="11" t="s">
        <v>2919</v>
      </c>
      <c r="E491" s="11" t="s">
        <v>2920</v>
      </c>
      <c r="F491" s="11" t="s">
        <v>2921</v>
      </c>
      <c r="G491" s="11" t="s">
        <v>58</v>
      </c>
      <c r="H491" s="11" t="s">
        <v>2922</v>
      </c>
      <c r="I491" s="11" t="s">
        <v>2923</v>
      </c>
      <c r="J491" s="12" t="s">
        <v>8</v>
      </c>
      <c r="K491" s="12"/>
      <c r="L491" s="12"/>
      <c r="M491" s="12"/>
      <c r="N491" s="12"/>
      <c r="O491" s="12" t="s">
        <v>60</v>
      </c>
      <c r="P491" s="12"/>
      <c r="Q491" s="12"/>
      <c r="R491" s="12"/>
      <c r="S491" s="12"/>
      <c r="T491" s="13" t="str">
        <f t="shared" si="35"/>
        <v>通過</v>
      </c>
      <c r="U491" s="13" t="str">
        <f t="shared" si="36"/>
        <v>他們兩個人是我的朋友</v>
      </c>
      <c r="V491" s="13" t="str">
        <f t="shared" si="37"/>
        <v>他們兩個/我/朋友</v>
      </c>
      <c r="W491" s="13" t="str">
        <f t="shared" si="38"/>
        <v>是</v>
      </c>
      <c r="X491" s="13" t="str">
        <f t="shared" si="39"/>
        <v>通過</v>
      </c>
    </row>
    <row r="492" spans="1:24" ht="34" customHeight="1">
      <c r="A492" s="11" t="s">
        <v>2924</v>
      </c>
      <c r="B492" s="11" t="s">
        <v>2924</v>
      </c>
      <c r="C492" s="11" t="s">
        <v>54</v>
      </c>
      <c r="D492" s="11" t="s">
        <v>2925</v>
      </c>
      <c r="E492" s="11" t="s">
        <v>2926</v>
      </c>
      <c r="F492" s="11" t="s">
        <v>2927</v>
      </c>
      <c r="G492" s="11" t="s">
        <v>58</v>
      </c>
      <c r="H492" s="11" t="s">
        <v>2928</v>
      </c>
      <c r="I492" s="11" t="s">
        <v>2929</v>
      </c>
      <c r="J492" s="12" t="s">
        <v>8</v>
      </c>
      <c r="K492" s="12"/>
      <c r="L492" s="12"/>
      <c r="M492" s="12"/>
      <c r="N492" s="12"/>
      <c r="O492" s="12" t="s">
        <v>60</v>
      </c>
      <c r="P492" s="12"/>
      <c r="Q492" s="12"/>
      <c r="R492" s="12"/>
      <c r="S492" s="12"/>
      <c r="T492" s="13" t="str">
        <f t="shared" si="35"/>
        <v>通過</v>
      </c>
      <c r="U492" s="13" t="str">
        <f t="shared" si="36"/>
        <v>我倆是好朋友，從小一起長大</v>
      </c>
      <c r="V492" s="13" t="str">
        <f t="shared" si="37"/>
        <v>我倆/朋友/長大</v>
      </c>
      <c r="W492" s="13" t="str">
        <f t="shared" si="38"/>
        <v>是</v>
      </c>
      <c r="X492" s="13" t="str">
        <f t="shared" si="39"/>
        <v>通過</v>
      </c>
    </row>
    <row r="493" spans="1:24" ht="34" customHeight="1">
      <c r="A493" s="11" t="s">
        <v>2930</v>
      </c>
      <c r="B493" s="11" t="s">
        <v>2930</v>
      </c>
      <c r="C493" s="11" t="s">
        <v>54</v>
      </c>
      <c r="D493" s="11" t="s">
        <v>2931</v>
      </c>
      <c r="E493" s="11" t="s">
        <v>2932</v>
      </c>
      <c r="F493" s="11" t="s">
        <v>2933</v>
      </c>
      <c r="G493" s="11" t="s">
        <v>58</v>
      </c>
      <c r="H493" s="11" t="s">
        <v>2934</v>
      </c>
      <c r="I493" s="11" t="s">
        <v>2935</v>
      </c>
      <c r="J493" s="12" t="s">
        <v>8</v>
      </c>
      <c r="K493" s="12"/>
      <c r="L493" s="12"/>
      <c r="M493" s="12"/>
      <c r="N493" s="12"/>
      <c r="O493" s="12" t="s">
        <v>60</v>
      </c>
      <c r="P493" s="12"/>
      <c r="Q493" s="12"/>
      <c r="R493" s="12"/>
      <c r="S493" s="12"/>
      <c r="T493" s="13" t="str">
        <f t="shared" si="35"/>
        <v>通過</v>
      </c>
      <c r="U493" s="13" t="str">
        <f t="shared" si="36"/>
        <v>他覺得所有人都要害他</v>
      </c>
      <c r="V493" s="13" t="str">
        <f t="shared" si="37"/>
        <v>他/想/全部/害他</v>
      </c>
      <c r="W493" s="13" t="str">
        <f t="shared" si="38"/>
        <v>是</v>
      </c>
      <c r="X493" s="13" t="str">
        <f t="shared" si="39"/>
        <v>通過</v>
      </c>
    </row>
    <row r="494" spans="1:24" ht="34" customHeight="1">
      <c r="A494" s="11" t="s">
        <v>2936</v>
      </c>
      <c r="B494" s="11" t="s">
        <v>2936</v>
      </c>
      <c r="C494" s="11" t="s">
        <v>54</v>
      </c>
      <c r="D494" s="11" t="s">
        <v>2931</v>
      </c>
      <c r="E494" s="11" t="s">
        <v>2937</v>
      </c>
      <c r="F494" s="11" t="s">
        <v>2938</v>
      </c>
      <c r="G494" s="11" t="s">
        <v>58</v>
      </c>
      <c r="H494" s="11" t="s">
        <v>2939</v>
      </c>
      <c r="I494" s="11" t="s">
        <v>2940</v>
      </c>
      <c r="J494" s="12" t="s">
        <v>8</v>
      </c>
      <c r="K494" s="12"/>
      <c r="L494" s="12"/>
      <c r="M494" s="12"/>
      <c r="N494" s="12"/>
      <c r="O494" s="12" t="s">
        <v>60</v>
      </c>
      <c r="P494" s="12"/>
      <c r="Q494" s="12"/>
      <c r="R494" s="12"/>
      <c r="S494" s="12"/>
      <c r="T494" s="13" t="str">
        <f t="shared" si="35"/>
        <v>通過</v>
      </c>
      <c r="U494" s="13" t="str">
        <f t="shared" si="36"/>
        <v>他每天想著怎麼變瘦</v>
      </c>
      <c r="V494" s="13" t="str">
        <f t="shared" si="37"/>
        <v>他/每天/想/如何/胖/變/瘦</v>
      </c>
      <c r="W494" s="13" t="str">
        <f t="shared" si="38"/>
        <v>是</v>
      </c>
      <c r="X494" s="13" t="str">
        <f t="shared" si="39"/>
        <v>通過</v>
      </c>
    </row>
    <row r="495" spans="1:24" ht="34" customHeight="1">
      <c r="A495" s="11" t="s">
        <v>2941</v>
      </c>
      <c r="B495" s="11" t="s">
        <v>2941</v>
      </c>
      <c r="C495" s="11" t="s">
        <v>54</v>
      </c>
      <c r="D495" s="11" t="s">
        <v>2942</v>
      </c>
      <c r="E495" s="11" t="s">
        <v>2943</v>
      </c>
      <c r="F495" s="11" t="s">
        <v>2944</v>
      </c>
      <c r="G495" s="11" t="s">
        <v>58</v>
      </c>
      <c r="H495" s="11" t="s">
        <v>2945</v>
      </c>
      <c r="I495" s="11" t="s">
        <v>2946</v>
      </c>
      <c r="J495" s="12" t="s">
        <v>8</v>
      </c>
      <c r="K495" s="12"/>
      <c r="L495" s="12"/>
      <c r="M495" s="12"/>
      <c r="N495" s="12"/>
      <c r="O495" s="12" t="s">
        <v>60</v>
      </c>
      <c r="P495" s="12"/>
      <c r="Q495" s="12"/>
      <c r="R495" s="12"/>
      <c r="S495" s="12"/>
      <c r="T495" s="13" t="str">
        <f t="shared" si="35"/>
        <v>通過</v>
      </c>
      <c r="U495" s="13" t="str">
        <f t="shared" si="36"/>
        <v>我覺得口渴了</v>
      </c>
      <c r="V495" s="13" t="str">
        <f t="shared" si="37"/>
        <v>我/覺得/口/渴</v>
      </c>
      <c r="W495" s="13" t="str">
        <f t="shared" si="38"/>
        <v>是</v>
      </c>
      <c r="X495" s="13" t="str">
        <f t="shared" si="39"/>
        <v>通過</v>
      </c>
    </row>
    <row r="496" spans="1:24" ht="34" customHeight="1">
      <c r="A496" s="11" t="s">
        <v>2947</v>
      </c>
      <c r="B496" s="11" t="s">
        <v>2947</v>
      </c>
      <c r="C496" s="11" t="s">
        <v>54</v>
      </c>
      <c r="D496" s="11" t="s">
        <v>2948</v>
      </c>
      <c r="E496" s="11" t="s">
        <v>2949</v>
      </c>
      <c r="F496" s="11" t="s">
        <v>2950</v>
      </c>
      <c r="G496" s="11" t="s">
        <v>58</v>
      </c>
      <c r="H496" s="11" t="s">
        <v>2951</v>
      </c>
      <c r="I496" s="11" t="s">
        <v>2952</v>
      </c>
      <c r="J496" s="12" t="s">
        <v>8</v>
      </c>
      <c r="K496" s="12"/>
      <c r="L496" s="12"/>
      <c r="M496" s="12"/>
      <c r="N496" s="12"/>
      <c r="O496" s="12" t="s">
        <v>60</v>
      </c>
      <c r="P496" s="12"/>
      <c r="Q496" s="12"/>
      <c r="R496" s="12"/>
      <c r="S496" s="12"/>
      <c r="T496" s="13" t="str">
        <f t="shared" si="35"/>
        <v>通過</v>
      </c>
      <c r="U496" s="13" t="str">
        <f t="shared" si="36"/>
        <v>現在是晚餐時間</v>
      </c>
      <c r="V496" s="13" t="str">
        <f t="shared" si="37"/>
        <v>晚餐/時間/現在/這/現在</v>
      </c>
      <c r="W496" s="13" t="str">
        <f t="shared" si="38"/>
        <v>是</v>
      </c>
      <c r="X496" s="13" t="str">
        <f t="shared" si="39"/>
        <v>通過</v>
      </c>
    </row>
    <row r="497" spans="1:24" ht="34" customHeight="1">
      <c r="A497" s="11" t="s">
        <v>2953</v>
      </c>
      <c r="B497" s="11" t="s">
        <v>2953</v>
      </c>
      <c r="C497" s="11" t="s">
        <v>54</v>
      </c>
      <c r="D497" s="11" t="s">
        <v>2954</v>
      </c>
      <c r="E497" s="11" t="s">
        <v>2955</v>
      </c>
      <c r="F497" s="11" t="s">
        <v>2956</v>
      </c>
      <c r="G497" s="11" t="s">
        <v>58</v>
      </c>
      <c r="H497" s="11" t="s">
        <v>2957</v>
      </c>
      <c r="I497" s="11" t="s">
        <v>2958</v>
      </c>
      <c r="J497" s="12" t="s">
        <v>8</v>
      </c>
      <c r="K497" s="12"/>
      <c r="L497" s="12"/>
      <c r="M497" s="12"/>
      <c r="N497" s="12"/>
      <c r="O497" s="12" t="s">
        <v>60</v>
      </c>
      <c r="P497" s="12"/>
      <c r="Q497" s="12"/>
      <c r="R497" s="12"/>
      <c r="S497" s="12"/>
      <c r="T497" s="13" t="str">
        <f t="shared" si="35"/>
        <v>通過</v>
      </c>
      <c r="U497" s="13" t="str">
        <f t="shared" si="36"/>
        <v>我剛考完試很累</v>
      </c>
      <c r="V497" s="13" t="str">
        <f t="shared" si="37"/>
        <v>剛剛/考試/完/我/累</v>
      </c>
      <c r="W497" s="13" t="str">
        <f t="shared" si="38"/>
        <v>是</v>
      </c>
      <c r="X497" s="13" t="str">
        <f t="shared" si="39"/>
        <v>通過</v>
      </c>
    </row>
    <row r="498" spans="1:24" ht="34" customHeight="1">
      <c r="A498" s="11" t="s">
        <v>2959</v>
      </c>
      <c r="B498" s="11" t="s">
        <v>2959</v>
      </c>
      <c r="C498" s="11" t="s">
        <v>54</v>
      </c>
      <c r="D498" s="11" t="s">
        <v>2954</v>
      </c>
      <c r="E498" s="11" t="s">
        <v>2960</v>
      </c>
      <c r="F498" s="11" t="s">
        <v>2961</v>
      </c>
      <c r="G498" s="11" t="s">
        <v>58</v>
      </c>
      <c r="H498" s="11" t="s">
        <v>2962</v>
      </c>
      <c r="I498" s="11" t="s">
        <v>2963</v>
      </c>
      <c r="J498" s="12" t="s">
        <v>8</v>
      </c>
      <c r="K498" s="12"/>
      <c r="L498" s="12"/>
      <c r="M498" s="12"/>
      <c r="N498" s="12"/>
      <c r="O498" s="12" t="s">
        <v>60</v>
      </c>
      <c r="P498" s="12"/>
      <c r="Q498" s="12"/>
      <c r="R498" s="12"/>
      <c r="S498" s="12"/>
      <c r="T498" s="13" t="str">
        <f t="shared" si="35"/>
        <v>通過</v>
      </c>
      <c r="U498" s="13" t="str">
        <f t="shared" si="36"/>
        <v>爸爸的工作很累</v>
      </c>
      <c r="V498" s="13" t="str">
        <f t="shared" si="37"/>
        <v>爸爸/工作/累</v>
      </c>
      <c r="W498" s="13" t="str">
        <f t="shared" si="38"/>
        <v>是</v>
      </c>
      <c r="X498" s="13" t="str">
        <f t="shared" si="39"/>
        <v>通過</v>
      </c>
    </row>
    <row r="499" spans="1:24" ht="34" customHeight="1">
      <c r="A499" s="11" t="s">
        <v>2964</v>
      </c>
      <c r="B499" s="11" t="s">
        <v>2964</v>
      </c>
      <c r="C499" s="11" t="s">
        <v>54</v>
      </c>
      <c r="D499" s="11" t="s">
        <v>2965</v>
      </c>
      <c r="E499" s="11" t="s">
        <v>2966</v>
      </c>
      <c r="F499" s="11" t="s">
        <v>2967</v>
      </c>
      <c r="G499" s="11" t="s">
        <v>58</v>
      </c>
      <c r="H499" s="11" t="s">
        <v>2968</v>
      </c>
      <c r="I499" s="11" t="s">
        <v>2969</v>
      </c>
      <c r="J499" s="12" t="s">
        <v>8</v>
      </c>
      <c r="K499" s="12"/>
      <c r="L499" s="12"/>
      <c r="M499" s="12"/>
      <c r="N499" s="12"/>
      <c r="O499" s="12" t="s">
        <v>60</v>
      </c>
      <c r="P499" s="12"/>
      <c r="Q499" s="12"/>
      <c r="R499" s="12"/>
      <c r="S499" s="12"/>
      <c r="T499" s="13" t="str">
        <f t="shared" si="35"/>
        <v>通過</v>
      </c>
      <c r="U499" s="13" t="str">
        <f t="shared" si="36"/>
        <v>跟我一同去郊遊</v>
      </c>
      <c r="V499" s="13" t="str">
        <f t="shared" si="37"/>
        <v>旅遊/玩/同/兩個去</v>
      </c>
      <c r="W499" s="13" t="str">
        <f t="shared" si="38"/>
        <v>是</v>
      </c>
      <c r="X499" s="13" t="str">
        <f t="shared" si="39"/>
        <v>通過</v>
      </c>
    </row>
    <row r="500" spans="1:24" ht="34" customHeight="1">
      <c r="A500" s="11" t="s">
        <v>2970</v>
      </c>
      <c r="B500" s="11" t="s">
        <v>2970</v>
      </c>
      <c r="C500" s="11" t="s">
        <v>54</v>
      </c>
      <c r="D500" s="11" t="s">
        <v>2971</v>
      </c>
      <c r="E500" s="11" t="s">
        <v>2972</v>
      </c>
      <c r="F500" s="11" t="s">
        <v>2973</v>
      </c>
      <c r="G500" s="11" t="s">
        <v>58</v>
      </c>
      <c r="H500" s="11" t="s">
        <v>2974</v>
      </c>
      <c r="I500" s="11" t="s">
        <v>2975</v>
      </c>
      <c r="J500" s="12" t="s">
        <v>8</v>
      </c>
      <c r="K500" s="12"/>
      <c r="L500" s="12"/>
      <c r="M500" s="12"/>
      <c r="N500" s="12"/>
      <c r="O500" s="12" t="s">
        <v>60</v>
      </c>
      <c r="P500" s="12"/>
      <c r="Q500" s="12"/>
      <c r="R500" s="12"/>
      <c r="S500" s="12"/>
      <c r="T500" s="13" t="str">
        <f t="shared" si="35"/>
        <v>通過</v>
      </c>
      <c r="U500" s="13" t="str">
        <f t="shared" si="36"/>
        <v>明天市長要來</v>
      </c>
      <c r="V500" s="13" t="str">
        <f t="shared" si="37"/>
        <v>明天/市長/要來</v>
      </c>
      <c r="W500" s="13" t="str">
        <f t="shared" si="38"/>
        <v>是</v>
      </c>
      <c r="X500" s="13" t="str">
        <f t="shared" si="39"/>
        <v>通過</v>
      </c>
    </row>
    <row r="501" spans="1:24" ht="34" customHeight="1">
      <c r="A501" s="11" t="s">
        <v>2976</v>
      </c>
      <c r="B501" s="11" t="s">
        <v>2976</v>
      </c>
      <c r="C501" s="11" t="s">
        <v>54</v>
      </c>
      <c r="D501" s="11" t="s">
        <v>2977</v>
      </c>
      <c r="E501" s="11" t="s">
        <v>2978</v>
      </c>
      <c r="F501" s="11" t="s">
        <v>2979</v>
      </c>
      <c r="G501" s="11" t="s">
        <v>58</v>
      </c>
      <c r="H501" s="11" t="s">
        <v>2980</v>
      </c>
      <c r="I501" s="11" t="s">
        <v>2981</v>
      </c>
      <c r="J501" s="12" t="s">
        <v>8</v>
      </c>
      <c r="K501" s="12"/>
      <c r="L501" s="12"/>
      <c r="M501" s="12"/>
      <c r="N501" s="12"/>
      <c r="O501" s="12" t="s">
        <v>60</v>
      </c>
      <c r="P501" s="12"/>
      <c r="Q501" s="12"/>
      <c r="R501" s="12"/>
      <c r="S501" s="12"/>
      <c r="T501" s="13" t="str">
        <f t="shared" si="35"/>
        <v>通過</v>
      </c>
      <c r="U501" s="13" t="str">
        <f t="shared" si="36"/>
        <v>牙齒是很堅硬的</v>
      </c>
      <c r="V501" s="13" t="str">
        <f t="shared" si="37"/>
        <v>牙齒/硬</v>
      </c>
      <c r="W501" s="13" t="str">
        <f t="shared" si="38"/>
        <v>是</v>
      </c>
      <c r="X501" s="13" t="str">
        <f t="shared" si="39"/>
        <v>通過</v>
      </c>
    </row>
    <row r="502" spans="1:24" ht="34" customHeight="1">
      <c r="A502" s="11" t="s">
        <v>2982</v>
      </c>
      <c r="B502" s="11" t="s">
        <v>2982</v>
      </c>
      <c r="C502" s="11" t="s">
        <v>54</v>
      </c>
      <c r="D502" s="11" t="s">
        <v>2983</v>
      </c>
      <c r="E502" s="11" t="s">
        <v>2984</v>
      </c>
      <c r="F502" s="11" t="s">
        <v>2985</v>
      </c>
      <c r="G502" s="11" t="s">
        <v>58</v>
      </c>
      <c r="H502" s="11" t="s">
        <v>2986</v>
      </c>
      <c r="I502" s="11" t="s">
        <v>2987</v>
      </c>
      <c r="J502" s="12" t="s">
        <v>8</v>
      </c>
      <c r="K502" s="12"/>
      <c r="L502" s="12"/>
      <c r="M502" s="12"/>
      <c r="N502" s="12"/>
      <c r="O502" s="12" t="s">
        <v>60</v>
      </c>
      <c r="P502" s="12"/>
      <c r="Q502" s="12"/>
      <c r="R502" s="12"/>
      <c r="S502" s="12"/>
      <c r="T502" s="13" t="str">
        <f t="shared" si="35"/>
        <v>通過</v>
      </c>
      <c r="U502" s="13" t="str">
        <f t="shared" si="36"/>
        <v>睡覺前要刷牙</v>
      </c>
      <c r="V502" s="13" t="str">
        <f t="shared" si="37"/>
        <v>睡/前/刷牙/要</v>
      </c>
      <c r="W502" s="13" t="str">
        <f t="shared" si="38"/>
        <v>是</v>
      </c>
      <c r="X502" s="13" t="str">
        <f t="shared" si="39"/>
        <v>通過</v>
      </c>
    </row>
    <row r="503" spans="1:24" ht="34" customHeight="1">
      <c r="A503" s="11" t="s">
        <v>2988</v>
      </c>
      <c r="B503" s="11" t="s">
        <v>2988</v>
      </c>
      <c r="C503" s="11" t="s">
        <v>54</v>
      </c>
      <c r="D503" s="11" t="s">
        <v>2983</v>
      </c>
      <c r="E503" s="11" t="s">
        <v>2989</v>
      </c>
      <c r="F503" s="11" t="s">
        <v>2990</v>
      </c>
      <c r="G503" s="11" t="s">
        <v>58</v>
      </c>
      <c r="H503" s="11" t="s">
        <v>2991</v>
      </c>
      <c r="I503" s="11" t="s">
        <v>2992</v>
      </c>
      <c r="J503" s="12" t="s">
        <v>8</v>
      </c>
      <c r="K503" s="12"/>
      <c r="L503" s="12"/>
      <c r="M503" s="12"/>
      <c r="N503" s="12"/>
      <c r="O503" s="12" t="s">
        <v>60</v>
      </c>
      <c r="P503" s="12"/>
      <c r="Q503" s="12"/>
      <c r="R503" s="12"/>
      <c r="S503" s="12"/>
      <c r="T503" s="13" t="str">
        <f t="shared" si="35"/>
        <v>通過</v>
      </c>
      <c r="U503" s="13" t="str">
        <f t="shared" si="36"/>
        <v>他剛換了一隻綠色的新牙刷</v>
      </c>
      <c r="V503" s="13" t="str">
        <f t="shared" si="37"/>
        <v>綠/牙刷/這/他/剛剛/換/新</v>
      </c>
      <c r="W503" s="13" t="str">
        <f t="shared" si="38"/>
        <v>是</v>
      </c>
      <c r="X503" s="13" t="str">
        <f t="shared" si="39"/>
        <v>通過</v>
      </c>
    </row>
    <row r="504" spans="1:24" ht="34" customHeight="1">
      <c r="A504" s="11" t="s">
        <v>2993</v>
      </c>
      <c r="B504" s="11" t="s">
        <v>2993</v>
      </c>
      <c r="C504" s="11" t="s">
        <v>54</v>
      </c>
      <c r="D504" s="11" t="s">
        <v>2994</v>
      </c>
      <c r="E504" s="11" t="s">
        <v>2995</v>
      </c>
      <c r="F504" s="11" t="s">
        <v>2996</v>
      </c>
      <c r="G504" s="11" t="s">
        <v>58</v>
      </c>
      <c r="H504" s="11" t="s">
        <v>2997</v>
      </c>
      <c r="I504" s="11" t="s">
        <v>2998</v>
      </c>
      <c r="J504" s="12" t="s">
        <v>8</v>
      </c>
      <c r="K504" s="12"/>
      <c r="L504" s="12"/>
      <c r="M504" s="12"/>
      <c r="N504" s="12"/>
      <c r="O504" s="12" t="s">
        <v>60</v>
      </c>
      <c r="P504" s="12"/>
      <c r="Q504" s="12"/>
      <c r="R504" s="12"/>
      <c r="S504" s="12"/>
      <c r="T504" s="13" t="str">
        <f t="shared" si="35"/>
        <v>通過</v>
      </c>
      <c r="U504" s="13" t="str">
        <f t="shared" si="36"/>
        <v>去國外旅遊時要注意安全</v>
      </c>
      <c r="V504" s="13" t="str">
        <f t="shared" si="37"/>
        <v>國外/去/旅遊/玩/安全/注意</v>
      </c>
      <c r="W504" s="13" t="str">
        <f t="shared" si="38"/>
        <v>是</v>
      </c>
      <c r="X504" s="13" t="str">
        <f t="shared" si="39"/>
        <v>通過</v>
      </c>
    </row>
    <row r="505" spans="1:24" ht="34" customHeight="1">
      <c r="A505" s="11" t="s">
        <v>2999</v>
      </c>
      <c r="B505" s="11" t="s">
        <v>2999</v>
      </c>
      <c r="C505" s="11" t="s">
        <v>54</v>
      </c>
      <c r="D505" s="11" t="s">
        <v>3000</v>
      </c>
      <c r="E505" s="11" t="s">
        <v>3001</v>
      </c>
      <c r="F505" s="11" t="s">
        <v>3002</v>
      </c>
      <c r="G505" s="11" t="s">
        <v>58</v>
      </c>
      <c r="H505" s="11" t="s">
        <v>3003</v>
      </c>
      <c r="I505" s="11" t="s">
        <v>3004</v>
      </c>
      <c r="J505" s="12" t="s">
        <v>8</v>
      </c>
      <c r="K505" s="12"/>
      <c r="L505" s="12"/>
      <c r="M505" s="12"/>
      <c r="N505" s="12"/>
      <c r="O505" s="12" t="s">
        <v>60</v>
      </c>
      <c r="P505" s="12"/>
      <c r="Q505" s="12"/>
      <c r="R505" s="12"/>
      <c r="S505" s="12"/>
      <c r="T505" s="13" t="str">
        <f t="shared" si="35"/>
        <v>通過</v>
      </c>
      <c r="U505" s="13" t="str">
        <f t="shared" si="36"/>
        <v>我家有三台卡車</v>
      </c>
      <c r="V505" s="13" t="str">
        <f t="shared" si="37"/>
        <v>我/家/卡車/三</v>
      </c>
      <c r="W505" s="13" t="str">
        <f t="shared" si="38"/>
        <v>是</v>
      </c>
      <c r="X505" s="13" t="str">
        <f t="shared" si="39"/>
        <v>通過</v>
      </c>
    </row>
    <row r="506" spans="1:24" ht="34" customHeight="1">
      <c r="A506" s="11" t="s">
        <v>3005</v>
      </c>
      <c r="B506" s="11" t="s">
        <v>3005</v>
      </c>
      <c r="C506" s="11" t="s">
        <v>54</v>
      </c>
      <c r="D506" s="11" t="s">
        <v>3006</v>
      </c>
      <c r="E506" s="11" t="s">
        <v>3007</v>
      </c>
      <c r="F506" s="11" t="s">
        <v>3008</v>
      </c>
      <c r="G506" s="11" t="s">
        <v>58</v>
      </c>
      <c r="H506" s="11" t="s">
        <v>3009</v>
      </c>
      <c r="I506" s="11" t="s">
        <v>3010</v>
      </c>
      <c r="J506" s="12" t="s">
        <v>8</v>
      </c>
      <c r="K506" s="12"/>
      <c r="L506" s="12"/>
      <c r="M506" s="12"/>
      <c r="N506" s="12"/>
      <c r="O506" s="12" t="s">
        <v>60</v>
      </c>
      <c r="P506" s="12"/>
      <c r="Q506" s="12"/>
      <c r="R506" s="12"/>
      <c r="S506" s="12"/>
      <c r="T506" s="13" t="str">
        <f t="shared" si="35"/>
        <v>通過</v>
      </c>
      <c r="U506" s="13" t="str">
        <f t="shared" si="36"/>
        <v>上禮拜的颱風很大</v>
      </c>
      <c r="V506" s="13" t="str">
        <f t="shared" si="37"/>
        <v>上個星期/颱風/強</v>
      </c>
      <c r="W506" s="13" t="str">
        <f t="shared" si="38"/>
        <v>是</v>
      </c>
      <c r="X506" s="13" t="str">
        <f t="shared" si="39"/>
        <v>通過</v>
      </c>
    </row>
    <row r="507" spans="1:24" ht="34" customHeight="1">
      <c r="A507" s="11" t="s">
        <v>3011</v>
      </c>
      <c r="B507" s="11" t="s">
        <v>3011</v>
      </c>
      <c r="C507" s="11" t="s">
        <v>54</v>
      </c>
      <c r="D507" s="11" t="s">
        <v>3012</v>
      </c>
      <c r="E507" s="11" t="s">
        <v>3013</v>
      </c>
      <c r="F507" s="11" t="s">
        <v>3014</v>
      </c>
      <c r="G507" s="11" t="s">
        <v>58</v>
      </c>
      <c r="H507" s="11" t="s">
        <v>3015</v>
      </c>
      <c r="I507" s="11" t="s">
        <v>3016</v>
      </c>
      <c r="J507" s="12" t="s">
        <v>8</v>
      </c>
      <c r="K507" s="12"/>
      <c r="L507" s="12"/>
      <c r="M507" s="12"/>
      <c r="N507" s="12"/>
      <c r="O507" s="12" t="s">
        <v>60</v>
      </c>
      <c r="P507" s="12"/>
      <c r="Q507" s="12"/>
      <c r="R507" s="12"/>
      <c r="S507" s="12"/>
      <c r="T507" s="13" t="str">
        <f t="shared" si="35"/>
        <v>通過</v>
      </c>
      <c r="U507" s="13" t="str">
        <f t="shared" si="36"/>
        <v>昨天我遺失了皮包，真倒楣。</v>
      </c>
      <c r="V507" s="13" t="str">
        <f t="shared" si="37"/>
        <v>昨天/皮包/遺失/怎麼辦/倒楣</v>
      </c>
      <c r="W507" s="13" t="str">
        <f t="shared" si="38"/>
        <v>是</v>
      </c>
      <c r="X507" s="13" t="str">
        <f t="shared" si="39"/>
        <v>通過</v>
      </c>
    </row>
    <row r="508" spans="1:24" ht="34" customHeight="1">
      <c r="A508" s="11" t="s">
        <v>3017</v>
      </c>
      <c r="B508" s="11" t="s">
        <v>3017</v>
      </c>
      <c r="C508" s="11" t="s">
        <v>54</v>
      </c>
      <c r="D508" s="11" t="s">
        <v>3018</v>
      </c>
      <c r="E508" s="11" t="s">
        <v>3019</v>
      </c>
      <c r="F508" s="11" t="s">
        <v>3020</v>
      </c>
      <c r="G508" s="11" t="s">
        <v>58</v>
      </c>
      <c r="H508" s="11" t="s">
        <v>3021</v>
      </c>
      <c r="I508" s="11" t="s">
        <v>3022</v>
      </c>
      <c r="J508" s="12" t="s">
        <v>8</v>
      </c>
      <c r="K508" s="12"/>
      <c r="L508" s="12"/>
      <c r="M508" s="12"/>
      <c r="N508" s="12"/>
      <c r="O508" s="12" t="s">
        <v>60</v>
      </c>
      <c r="P508" s="12"/>
      <c r="Q508" s="12"/>
      <c r="R508" s="12"/>
      <c r="S508" s="12"/>
      <c r="T508" s="13" t="str">
        <f t="shared" si="35"/>
        <v>通過</v>
      </c>
      <c r="U508" s="13" t="str">
        <f t="shared" si="36"/>
        <v>他急著地離開</v>
      </c>
      <c r="V508" s="13" t="str">
        <f t="shared" si="37"/>
        <v>他/著急/走了</v>
      </c>
      <c r="W508" s="13" t="str">
        <f t="shared" si="38"/>
        <v>是</v>
      </c>
      <c r="X508" s="13" t="str">
        <f t="shared" si="39"/>
        <v>通過</v>
      </c>
    </row>
    <row r="509" spans="1:24" ht="34" customHeight="1">
      <c r="A509" s="11" t="s">
        <v>3023</v>
      </c>
      <c r="B509" s="11" t="s">
        <v>3023</v>
      </c>
      <c r="C509" s="11" t="s">
        <v>54</v>
      </c>
      <c r="D509" s="11" t="s">
        <v>3024</v>
      </c>
      <c r="E509" s="11" t="s">
        <v>3025</v>
      </c>
      <c r="F509" s="11" t="s">
        <v>3026</v>
      </c>
      <c r="G509" s="11" t="s">
        <v>58</v>
      </c>
      <c r="H509" s="11" t="s">
        <v>3027</v>
      </c>
      <c r="I509" s="11" t="s">
        <v>3028</v>
      </c>
      <c r="J509" s="12" t="s">
        <v>8</v>
      </c>
      <c r="K509" s="12"/>
      <c r="L509" s="12"/>
      <c r="M509" s="12"/>
      <c r="N509" s="12"/>
      <c r="O509" s="12" t="s">
        <v>60</v>
      </c>
      <c r="P509" s="12"/>
      <c r="Q509" s="12"/>
      <c r="R509" s="12"/>
      <c r="S509" s="12"/>
      <c r="T509" s="13" t="str">
        <f t="shared" si="35"/>
        <v>通過</v>
      </c>
      <c r="U509" s="13" t="str">
        <f t="shared" si="36"/>
        <v>他昨天熬夜，所以今天請假</v>
      </c>
      <c r="V509" s="13" t="str">
        <f t="shared" si="37"/>
        <v>他/昨天/通宵/現在/請假</v>
      </c>
      <c r="W509" s="13" t="str">
        <f t="shared" si="38"/>
        <v>是</v>
      </c>
      <c r="X509" s="13" t="str">
        <f t="shared" si="39"/>
        <v>通過</v>
      </c>
    </row>
    <row r="510" spans="1:24" ht="34" customHeight="1">
      <c r="A510" s="11" t="s">
        <v>3029</v>
      </c>
      <c r="B510" s="11" t="s">
        <v>3029</v>
      </c>
      <c r="C510" s="11" t="s">
        <v>54</v>
      </c>
      <c r="D510" s="11" t="s">
        <v>3030</v>
      </c>
      <c r="E510" s="11" t="s">
        <v>2711</v>
      </c>
      <c r="F510" s="11" t="s">
        <v>3031</v>
      </c>
      <c r="G510" s="11" t="s">
        <v>58</v>
      </c>
      <c r="H510" s="11" t="s">
        <v>3032</v>
      </c>
      <c r="I510" s="11" t="s">
        <v>3033</v>
      </c>
      <c r="J510" s="12" t="s">
        <v>8</v>
      </c>
      <c r="K510" s="12"/>
      <c r="L510" s="12"/>
      <c r="M510" s="12"/>
      <c r="N510" s="12"/>
      <c r="O510" s="12" t="s">
        <v>60</v>
      </c>
      <c r="P510" s="12"/>
      <c r="Q510" s="12"/>
      <c r="R510" s="12"/>
      <c r="S510" s="12"/>
      <c r="T510" s="13" t="str">
        <f t="shared" si="35"/>
        <v>通過</v>
      </c>
      <c r="U510" s="13" t="str">
        <f t="shared" si="36"/>
        <v>我會說三種語言</v>
      </c>
      <c r="V510" s="13" t="str">
        <f t="shared" si="37"/>
        <v>我/說/種類/三/知道</v>
      </c>
      <c r="W510" s="13" t="str">
        <f t="shared" si="38"/>
        <v>是</v>
      </c>
      <c r="X510" s="13" t="str">
        <f t="shared" si="39"/>
        <v>通過</v>
      </c>
    </row>
    <row r="511" spans="1:24" ht="34" customHeight="1">
      <c r="A511" s="11" t="s">
        <v>3034</v>
      </c>
      <c r="B511" s="11" t="s">
        <v>3034</v>
      </c>
      <c r="C511" s="11" t="s">
        <v>54</v>
      </c>
      <c r="D511" s="11" t="s">
        <v>3035</v>
      </c>
      <c r="E511" s="11" t="s">
        <v>2076</v>
      </c>
      <c r="F511" s="11" t="s">
        <v>3036</v>
      </c>
      <c r="G511" s="11" t="s">
        <v>58</v>
      </c>
      <c r="H511" s="11" t="s">
        <v>3037</v>
      </c>
      <c r="I511" s="11" t="s">
        <v>3038</v>
      </c>
      <c r="J511" s="12" t="s">
        <v>8</v>
      </c>
      <c r="K511" s="12"/>
      <c r="L511" s="12"/>
      <c r="M511" s="12"/>
      <c r="N511" s="12"/>
      <c r="O511" s="12" t="s">
        <v>60</v>
      </c>
      <c r="P511" s="12"/>
      <c r="Q511" s="12"/>
      <c r="R511" s="12"/>
      <c r="S511" s="12"/>
      <c r="T511" s="13" t="str">
        <f t="shared" si="35"/>
        <v>通過</v>
      </c>
      <c r="U511" s="13" t="str">
        <f t="shared" si="36"/>
        <v>我要看報紙</v>
      </c>
      <c r="V511" s="13" t="str">
        <f t="shared" si="37"/>
        <v>報紙/我/欣賞/要</v>
      </c>
      <c r="W511" s="13" t="str">
        <f t="shared" si="38"/>
        <v>是</v>
      </c>
      <c r="X511" s="13" t="str">
        <f t="shared" si="39"/>
        <v>通過</v>
      </c>
    </row>
    <row r="512" spans="1:24" ht="34" customHeight="1">
      <c r="A512" s="11" t="s">
        <v>3039</v>
      </c>
      <c r="B512" s="11" t="s">
        <v>3039</v>
      </c>
      <c r="C512" s="11" t="s">
        <v>54</v>
      </c>
      <c r="D512" s="11" t="s">
        <v>3040</v>
      </c>
      <c r="E512" s="11" t="s">
        <v>3041</v>
      </c>
      <c r="F512" s="11" t="s">
        <v>3042</v>
      </c>
      <c r="G512" s="11" t="s">
        <v>58</v>
      </c>
      <c r="H512" s="11" t="s">
        <v>3043</v>
      </c>
      <c r="I512" s="11" t="s">
        <v>3044</v>
      </c>
      <c r="J512" s="12" t="s">
        <v>8</v>
      </c>
      <c r="K512" s="12"/>
      <c r="L512" s="12"/>
      <c r="M512" s="12"/>
      <c r="N512" s="12"/>
      <c r="O512" s="12" t="s">
        <v>60</v>
      </c>
      <c r="P512" s="12"/>
      <c r="Q512" s="12"/>
      <c r="R512" s="12"/>
      <c r="S512" s="12"/>
      <c r="T512" s="13" t="str">
        <f t="shared" si="35"/>
        <v>通過</v>
      </c>
      <c r="U512" s="13" t="str">
        <f t="shared" si="36"/>
        <v>我們一起走吧</v>
      </c>
      <c r="V512" s="13" t="str">
        <f t="shared" si="37"/>
        <v>我們兩個/來/走</v>
      </c>
      <c r="W512" s="13" t="str">
        <f t="shared" si="38"/>
        <v>是</v>
      </c>
      <c r="X512" s="13" t="str">
        <f t="shared" si="39"/>
        <v>通過</v>
      </c>
    </row>
    <row r="513" spans="1:24" ht="34" customHeight="1">
      <c r="A513" s="11" t="s">
        <v>3045</v>
      </c>
      <c r="B513" s="11" t="s">
        <v>3045</v>
      </c>
      <c r="C513" s="11" t="s">
        <v>54</v>
      </c>
      <c r="D513" s="11" t="s">
        <v>3046</v>
      </c>
      <c r="E513" s="11" t="s">
        <v>3047</v>
      </c>
      <c r="F513" s="11" t="s">
        <v>3048</v>
      </c>
      <c r="G513" s="11" t="s">
        <v>58</v>
      </c>
      <c r="H513" s="11" t="s">
        <v>3049</v>
      </c>
      <c r="I513" s="11" t="s">
        <v>3050</v>
      </c>
      <c r="J513" s="12" t="s">
        <v>8</v>
      </c>
      <c r="K513" s="12"/>
      <c r="L513" s="12"/>
      <c r="M513" s="12"/>
      <c r="N513" s="12"/>
      <c r="O513" s="12" t="s">
        <v>60</v>
      </c>
      <c r="P513" s="12"/>
      <c r="Q513" s="12"/>
      <c r="R513" s="12"/>
      <c r="S513" s="12"/>
      <c r="T513" s="13" t="str">
        <f t="shared" si="35"/>
        <v>通過</v>
      </c>
      <c r="U513" s="13" t="str">
        <f t="shared" si="36"/>
        <v>妳願意嫁給我嗎?</v>
      </c>
      <c r="V513" s="13" t="str">
        <f t="shared" si="37"/>
        <v>嫁給我/要</v>
      </c>
      <c r="W513" s="13" t="str">
        <f t="shared" si="38"/>
        <v>是</v>
      </c>
      <c r="X513" s="13" t="str">
        <f t="shared" si="39"/>
        <v>通過</v>
      </c>
    </row>
    <row r="514" spans="1:24" ht="34" customHeight="1">
      <c r="A514" s="11" t="s">
        <v>3051</v>
      </c>
      <c r="B514" s="11" t="s">
        <v>3051</v>
      </c>
      <c r="C514" s="11" t="s">
        <v>54</v>
      </c>
      <c r="D514" s="11" t="s">
        <v>3052</v>
      </c>
      <c r="E514" s="11" t="s">
        <v>3053</v>
      </c>
      <c r="F514" s="11" t="s">
        <v>2359</v>
      </c>
      <c r="G514" s="11" t="s">
        <v>58</v>
      </c>
      <c r="H514" s="11" t="s">
        <v>3054</v>
      </c>
      <c r="I514" s="11" t="s">
        <v>3055</v>
      </c>
      <c r="J514" s="12" t="s">
        <v>8</v>
      </c>
      <c r="K514" s="12"/>
      <c r="L514" s="12"/>
      <c r="M514" s="12"/>
      <c r="N514" s="12"/>
      <c r="O514" s="12" t="s">
        <v>60</v>
      </c>
      <c r="P514" s="12"/>
      <c r="Q514" s="12"/>
      <c r="R514" s="12"/>
      <c r="S514" s="12"/>
      <c r="T514" s="13" t="str">
        <f t="shared" ref="T514:T543" si="40">IF(J514="","未填",IF(J514="需複審",IF(OR(P514="",P514="仍需複審"),"待複審",P514),J514))</f>
        <v>通過</v>
      </c>
      <c r="U514" s="13" t="str">
        <f t="shared" ref="U514:U543" si="41">IF(T514="通過",E514,IF(T514="需更正",IF(J514="需複審",IF(Q514="",E514,Q514),IF(L514="",E514,L514)),""))</f>
        <v>我要準備比賽</v>
      </c>
      <c r="V514" s="13" t="str">
        <f t="shared" ref="V514:V543" si="42">IF(T514="通過",F514,IF(T514="需更正",IF(J514="需複審",R514,M514),""))</f>
        <v>比賽/我/準備/要</v>
      </c>
      <c r="W514" s="13" t="str">
        <f t="shared" ref="W514:W543" si="43">IF(AND(OR(T514="通過",AND(T514="需更正",V514&lt;&gt;"")),X514="通過"),"是","否")</f>
        <v>是</v>
      </c>
      <c r="X514" s="13" t="str">
        <f t="shared" ref="X514:X543" si="44">IF(J514="","未填",IF(AND(J514="需複審",OR(P514="",P514="仍需複審")),"待複審",IF(OR(AND(J514="需更正",K514=""),AND(J514="需更正",M514=""),AND(J514="需更正",N514=""),AND(J514="排除",OR(K514="",N514="")),AND(J514="需複審",P514="需更正",R514=""),AND(J514="需複審",P514="需更正",S514=""),AND(J514="需複審",P514="排除",S514="")),"錯誤：請補齊必填欄位","通過")))</f>
        <v>通過</v>
      </c>
    </row>
    <row r="515" spans="1:24" ht="34" customHeight="1">
      <c r="A515" s="11" t="s">
        <v>3056</v>
      </c>
      <c r="B515" s="11" t="s">
        <v>3056</v>
      </c>
      <c r="C515" s="11" t="s">
        <v>54</v>
      </c>
      <c r="D515" s="11" t="s">
        <v>3052</v>
      </c>
      <c r="E515" s="11" t="s">
        <v>3057</v>
      </c>
      <c r="F515" s="11" t="s">
        <v>3058</v>
      </c>
      <c r="G515" s="11" t="s">
        <v>58</v>
      </c>
      <c r="H515" s="11" t="s">
        <v>3059</v>
      </c>
      <c r="I515" s="11" t="s">
        <v>3060</v>
      </c>
      <c r="J515" s="12" t="s">
        <v>8</v>
      </c>
      <c r="K515" s="12"/>
      <c r="L515" s="12"/>
      <c r="M515" s="12"/>
      <c r="N515" s="12"/>
      <c r="O515" s="12" t="s">
        <v>60</v>
      </c>
      <c r="P515" s="12"/>
      <c r="Q515" s="12"/>
      <c r="R515" s="12"/>
      <c r="S515" s="12"/>
      <c r="T515" s="13" t="str">
        <f t="shared" si="40"/>
        <v>通過</v>
      </c>
      <c r="U515" s="13" t="str">
        <f t="shared" si="41"/>
        <v>我需要三把椅子</v>
      </c>
      <c r="V515" s="13" t="str">
        <f t="shared" si="42"/>
        <v>我/需要/椅子/三</v>
      </c>
      <c r="W515" s="13" t="str">
        <f t="shared" si="43"/>
        <v>是</v>
      </c>
      <c r="X515" s="13" t="str">
        <f t="shared" si="44"/>
        <v>通過</v>
      </c>
    </row>
    <row r="516" spans="1:24" ht="34" customHeight="1">
      <c r="A516" s="11" t="s">
        <v>3061</v>
      </c>
      <c r="B516" s="11" t="s">
        <v>3061</v>
      </c>
      <c r="C516" s="11" t="s">
        <v>54</v>
      </c>
      <c r="D516" s="11" t="s">
        <v>3062</v>
      </c>
      <c r="E516" s="11" t="s">
        <v>3063</v>
      </c>
      <c r="F516" s="11" t="s">
        <v>3064</v>
      </c>
      <c r="G516" s="11" t="s">
        <v>58</v>
      </c>
      <c r="H516" s="11" t="s">
        <v>3065</v>
      </c>
      <c r="I516" s="11" t="s">
        <v>3066</v>
      </c>
      <c r="J516" s="12" t="s">
        <v>8</v>
      </c>
      <c r="K516" s="12"/>
      <c r="L516" s="12"/>
      <c r="M516" s="12"/>
      <c r="N516" s="12"/>
      <c r="O516" s="12" t="s">
        <v>60</v>
      </c>
      <c r="P516" s="12"/>
      <c r="Q516" s="12"/>
      <c r="R516" s="12"/>
      <c r="S516" s="12"/>
      <c r="T516" s="13" t="str">
        <f t="shared" si="40"/>
        <v>通過</v>
      </c>
      <c r="U516" s="13" t="str">
        <f t="shared" si="41"/>
        <v>他的大衣很暖和</v>
      </c>
      <c r="V516" s="13" t="str">
        <f t="shared" si="42"/>
        <v>他/大/外套/暖和</v>
      </c>
      <c r="W516" s="13" t="str">
        <f t="shared" si="43"/>
        <v>是</v>
      </c>
      <c r="X516" s="13" t="str">
        <f t="shared" si="44"/>
        <v>通過</v>
      </c>
    </row>
    <row r="517" spans="1:24" ht="34" customHeight="1">
      <c r="A517" s="11" t="s">
        <v>3067</v>
      </c>
      <c r="B517" s="11" t="s">
        <v>3067</v>
      </c>
      <c r="C517" s="11" t="s">
        <v>54</v>
      </c>
      <c r="D517" s="11" t="s">
        <v>3068</v>
      </c>
      <c r="E517" s="11" t="s">
        <v>3069</v>
      </c>
      <c r="F517" s="11" t="s">
        <v>3070</v>
      </c>
      <c r="G517" s="11" t="s">
        <v>58</v>
      </c>
      <c r="H517" s="11" t="s">
        <v>3071</v>
      </c>
      <c r="I517" s="11" t="s">
        <v>3072</v>
      </c>
      <c r="J517" s="12" t="s">
        <v>8</v>
      </c>
      <c r="K517" s="12"/>
      <c r="L517" s="12"/>
      <c r="M517" s="12"/>
      <c r="N517" s="12"/>
      <c r="O517" s="12" t="s">
        <v>60</v>
      </c>
      <c r="P517" s="12"/>
      <c r="Q517" s="12"/>
      <c r="R517" s="12"/>
      <c r="S517" s="12"/>
      <c r="T517" s="13" t="str">
        <f t="shared" si="40"/>
        <v>通過</v>
      </c>
      <c r="U517" s="13" t="str">
        <f t="shared" si="41"/>
        <v>吃飯前記得要先洗手</v>
      </c>
      <c r="V517" s="13" t="str">
        <f t="shared" si="42"/>
        <v>吃飯/之前/你/記得/洗手/首先</v>
      </c>
      <c r="W517" s="13" t="str">
        <f t="shared" si="43"/>
        <v>是</v>
      </c>
      <c r="X517" s="13" t="str">
        <f t="shared" si="44"/>
        <v>通過</v>
      </c>
    </row>
    <row r="518" spans="1:24" ht="34" customHeight="1">
      <c r="A518" s="11" t="s">
        <v>3073</v>
      </c>
      <c r="B518" s="11" t="s">
        <v>3073</v>
      </c>
      <c r="C518" s="11" t="s">
        <v>54</v>
      </c>
      <c r="D518" s="11" t="s">
        <v>3074</v>
      </c>
      <c r="E518" s="11" t="s">
        <v>3075</v>
      </c>
      <c r="F518" s="11" t="s">
        <v>3076</v>
      </c>
      <c r="G518" s="11" t="s">
        <v>58</v>
      </c>
      <c r="H518" s="11" t="s">
        <v>3077</v>
      </c>
      <c r="I518" s="11" t="s">
        <v>3078</v>
      </c>
      <c r="J518" s="12" t="s">
        <v>10</v>
      </c>
      <c r="K518" s="12" t="s">
        <v>3243</v>
      </c>
      <c r="L518" s="12"/>
      <c r="M518" s="12" t="s">
        <v>3273</v>
      </c>
      <c r="N518" s="12" t="s">
        <v>3272</v>
      </c>
      <c r="O518" s="12" t="s">
        <v>60</v>
      </c>
      <c r="P518" s="12"/>
      <c r="Q518" s="12"/>
      <c r="R518" s="12"/>
      <c r="S518" s="12"/>
      <c r="T518" s="13" t="str">
        <f t="shared" si="40"/>
        <v>需更正</v>
      </c>
      <c r="U518" s="13" t="str">
        <f t="shared" si="41"/>
        <v>不要浪費時間</v>
      </c>
      <c r="V518" s="13" t="str">
        <f t="shared" si="42"/>
        <v>時間_A/浪費/不要_S</v>
      </c>
      <c r="W518" s="13" t="str">
        <f t="shared" si="43"/>
        <v>是</v>
      </c>
      <c r="X518" s="13" t="str">
        <f t="shared" si="44"/>
        <v>通過</v>
      </c>
    </row>
    <row r="519" spans="1:24" ht="34" customHeight="1">
      <c r="A519" s="11" t="s">
        <v>3079</v>
      </c>
      <c r="B519" s="11" t="s">
        <v>3079</v>
      </c>
      <c r="C519" s="11" t="s">
        <v>54</v>
      </c>
      <c r="D519" s="11" t="s">
        <v>3080</v>
      </c>
      <c r="E519" s="11" t="s">
        <v>3081</v>
      </c>
      <c r="F519" s="11" t="s">
        <v>3082</v>
      </c>
      <c r="G519" s="11" t="s">
        <v>58</v>
      </c>
      <c r="H519" s="11" t="s">
        <v>3083</v>
      </c>
      <c r="I519" s="11" t="s">
        <v>3084</v>
      </c>
      <c r="J519" s="12" t="s">
        <v>8</v>
      </c>
      <c r="K519" s="12"/>
      <c r="L519" s="12"/>
      <c r="M519" s="12"/>
      <c r="N519" s="12"/>
      <c r="O519" s="12" t="s">
        <v>60</v>
      </c>
      <c r="P519" s="12"/>
      <c r="Q519" s="12"/>
      <c r="R519" s="12"/>
      <c r="S519" s="12"/>
      <c r="T519" s="13" t="str">
        <f t="shared" si="40"/>
        <v>通過</v>
      </c>
      <c r="U519" s="13" t="str">
        <f t="shared" si="41"/>
        <v>夏天的時候我們會吃西瓜</v>
      </c>
      <c r="V519" s="13" t="str">
        <f t="shared" si="42"/>
        <v>夏天/夏天/西瓜/吃</v>
      </c>
      <c r="W519" s="13" t="str">
        <f t="shared" si="43"/>
        <v>是</v>
      </c>
      <c r="X519" s="13" t="str">
        <f t="shared" si="44"/>
        <v>通過</v>
      </c>
    </row>
    <row r="520" spans="1:24" ht="34" customHeight="1">
      <c r="A520" s="11" t="s">
        <v>3085</v>
      </c>
      <c r="B520" s="11" t="s">
        <v>3085</v>
      </c>
      <c r="C520" s="11" t="s">
        <v>54</v>
      </c>
      <c r="D520" s="11" t="s">
        <v>3086</v>
      </c>
      <c r="E520" s="11" t="s">
        <v>3087</v>
      </c>
      <c r="F520" s="11" t="s">
        <v>3088</v>
      </c>
      <c r="G520" s="11" t="s">
        <v>58</v>
      </c>
      <c r="H520" s="11" t="s">
        <v>3089</v>
      </c>
      <c r="I520" s="11" t="s">
        <v>3090</v>
      </c>
      <c r="J520" s="12" t="s">
        <v>8</v>
      </c>
      <c r="K520" s="12"/>
      <c r="L520" s="12"/>
      <c r="M520" s="12"/>
      <c r="N520" s="12"/>
      <c r="O520" s="12" t="s">
        <v>60</v>
      </c>
      <c r="P520" s="12"/>
      <c r="Q520" s="12"/>
      <c r="R520" s="12"/>
      <c r="S520" s="12"/>
      <c r="T520" s="13" t="str">
        <f t="shared" si="40"/>
        <v>通過</v>
      </c>
      <c r="U520" s="13" t="str">
        <f t="shared" si="41"/>
        <v>我們約好要去KTV唱歌</v>
      </c>
      <c r="V520" s="13" t="str">
        <f t="shared" si="42"/>
        <v>KTV/唱歌/我們/討論/好/去</v>
      </c>
      <c r="W520" s="13" t="str">
        <f t="shared" si="43"/>
        <v>是</v>
      </c>
      <c r="X520" s="13" t="str">
        <f t="shared" si="44"/>
        <v>通過</v>
      </c>
    </row>
    <row r="521" spans="1:24" ht="34" customHeight="1">
      <c r="A521" s="11" t="s">
        <v>3091</v>
      </c>
      <c r="B521" s="11" t="s">
        <v>3091</v>
      </c>
      <c r="C521" s="11" t="s">
        <v>54</v>
      </c>
      <c r="D521" s="11" t="s">
        <v>3092</v>
      </c>
      <c r="E521" s="11" t="s">
        <v>3093</v>
      </c>
      <c r="F521" s="11" t="s">
        <v>3094</v>
      </c>
      <c r="G521" s="11" t="s">
        <v>58</v>
      </c>
      <c r="H521" s="11" t="s">
        <v>3095</v>
      </c>
      <c r="I521" s="11" t="s">
        <v>3096</v>
      </c>
      <c r="J521" s="12" t="s">
        <v>8</v>
      </c>
      <c r="K521" s="12"/>
      <c r="L521" s="12"/>
      <c r="M521" s="12"/>
      <c r="N521" s="12"/>
      <c r="O521" s="12" t="s">
        <v>60</v>
      </c>
      <c r="P521" s="12"/>
      <c r="Q521" s="12"/>
      <c r="R521" s="12"/>
      <c r="S521" s="12"/>
      <c r="T521" s="13" t="str">
        <f t="shared" si="40"/>
        <v>通過</v>
      </c>
      <c r="U521" s="13" t="str">
        <f t="shared" si="41"/>
        <v>歡迎光臨台灣</v>
      </c>
      <c r="V521" s="13" t="str">
        <f t="shared" si="42"/>
        <v>歡迎/人來/台灣</v>
      </c>
      <c r="W521" s="13" t="str">
        <f t="shared" si="43"/>
        <v>是</v>
      </c>
      <c r="X521" s="13" t="str">
        <f t="shared" si="44"/>
        <v>通過</v>
      </c>
    </row>
    <row r="522" spans="1:24" ht="34" customHeight="1">
      <c r="A522" s="11" t="s">
        <v>3097</v>
      </c>
      <c r="B522" s="11" t="s">
        <v>3097</v>
      </c>
      <c r="C522" s="11" t="s">
        <v>54</v>
      </c>
      <c r="D522" s="11" t="s">
        <v>3098</v>
      </c>
      <c r="E522" s="11" t="s">
        <v>3099</v>
      </c>
      <c r="F522" s="11" t="s">
        <v>3100</v>
      </c>
      <c r="G522" s="11" t="s">
        <v>58</v>
      </c>
      <c r="H522" s="11" t="s">
        <v>3101</v>
      </c>
      <c r="I522" s="11" t="s">
        <v>3102</v>
      </c>
      <c r="J522" s="12" t="s">
        <v>8</v>
      </c>
      <c r="K522" s="12"/>
      <c r="L522" s="12"/>
      <c r="M522" s="12"/>
      <c r="N522" s="12"/>
      <c r="O522" s="12" t="s">
        <v>60</v>
      </c>
      <c r="P522" s="12"/>
      <c r="Q522" s="12"/>
      <c r="R522" s="12"/>
      <c r="S522" s="12"/>
      <c r="T522" s="13" t="str">
        <f t="shared" si="40"/>
        <v>通過</v>
      </c>
      <c r="U522" s="13" t="str">
        <f t="shared" si="41"/>
        <v>往西邊走會到公園</v>
      </c>
      <c r="V522" s="13" t="str">
        <f t="shared" si="42"/>
        <v>西/那/走/那/公園/那</v>
      </c>
      <c r="W522" s="13" t="str">
        <f t="shared" si="43"/>
        <v>是</v>
      </c>
      <c r="X522" s="13" t="str">
        <f t="shared" si="44"/>
        <v>通過</v>
      </c>
    </row>
    <row r="523" spans="1:24" ht="34" customHeight="1">
      <c r="A523" s="11" t="s">
        <v>3103</v>
      </c>
      <c r="B523" s="11" t="s">
        <v>3103</v>
      </c>
      <c r="C523" s="11" t="s">
        <v>54</v>
      </c>
      <c r="D523" s="11" t="s">
        <v>3104</v>
      </c>
      <c r="E523" s="11" t="s">
        <v>3105</v>
      </c>
      <c r="F523" s="11" t="s">
        <v>3106</v>
      </c>
      <c r="G523" s="11" t="s">
        <v>58</v>
      </c>
      <c r="H523" s="11" t="s">
        <v>3107</v>
      </c>
      <c r="I523" s="11" t="s">
        <v>3108</v>
      </c>
      <c r="J523" s="12" t="s">
        <v>8</v>
      </c>
      <c r="K523" s="12"/>
      <c r="L523" s="12"/>
      <c r="M523" s="12"/>
      <c r="N523" s="12"/>
      <c r="O523" s="12" t="s">
        <v>60</v>
      </c>
      <c r="P523" s="12"/>
      <c r="Q523" s="12"/>
      <c r="R523" s="12"/>
      <c r="S523" s="12"/>
      <c r="T523" s="13" t="str">
        <f t="shared" si="40"/>
        <v>通過</v>
      </c>
      <c r="U523" s="13" t="str">
        <f t="shared" si="41"/>
        <v>今天日期是三月八日</v>
      </c>
      <c r="V523" s="13" t="str">
        <f t="shared" si="42"/>
        <v>今天/日期/三月八日</v>
      </c>
      <c r="W523" s="13" t="str">
        <f t="shared" si="43"/>
        <v>是</v>
      </c>
      <c r="X523" s="13" t="str">
        <f t="shared" si="44"/>
        <v>通過</v>
      </c>
    </row>
    <row r="524" spans="1:24" ht="34" customHeight="1">
      <c r="A524" s="11" t="s">
        <v>3109</v>
      </c>
      <c r="B524" s="11" t="s">
        <v>3109</v>
      </c>
      <c r="C524" s="11" t="s">
        <v>54</v>
      </c>
      <c r="D524" s="11" t="s">
        <v>3110</v>
      </c>
      <c r="E524" s="11" t="s">
        <v>3111</v>
      </c>
      <c r="F524" s="11" t="s">
        <v>3112</v>
      </c>
      <c r="G524" s="11" t="s">
        <v>58</v>
      </c>
      <c r="H524" s="11" t="s">
        <v>3113</v>
      </c>
      <c r="I524" s="11" t="s">
        <v>3114</v>
      </c>
      <c r="J524" s="12" t="s">
        <v>8</v>
      </c>
      <c r="K524" s="12"/>
      <c r="L524" s="12"/>
      <c r="M524" s="12"/>
      <c r="N524" s="12"/>
      <c r="O524" s="12" t="s">
        <v>60</v>
      </c>
      <c r="P524" s="12"/>
      <c r="Q524" s="12"/>
      <c r="R524" s="12"/>
      <c r="S524" s="12"/>
      <c r="T524" s="13" t="str">
        <f t="shared" si="40"/>
        <v>通過</v>
      </c>
      <c r="U524" s="13" t="str">
        <f t="shared" si="41"/>
        <v>我找不到老師，怎麼辦?</v>
      </c>
      <c r="V524" s="13" t="str">
        <f t="shared" si="42"/>
        <v>老師/找/做不成/怎麼辦A/怎麼辦B</v>
      </c>
      <c r="W524" s="13" t="str">
        <f t="shared" si="43"/>
        <v>是</v>
      </c>
      <c r="X524" s="13" t="str">
        <f t="shared" si="44"/>
        <v>通過</v>
      </c>
    </row>
    <row r="525" spans="1:24" ht="34" customHeight="1">
      <c r="A525" s="11" t="s">
        <v>3115</v>
      </c>
      <c r="B525" s="11" t="s">
        <v>3115</v>
      </c>
      <c r="C525" s="11" t="s">
        <v>54</v>
      </c>
      <c r="D525" s="11" t="s">
        <v>3116</v>
      </c>
      <c r="E525" s="11" t="s">
        <v>3117</v>
      </c>
      <c r="F525" s="11" t="s">
        <v>3118</v>
      </c>
      <c r="G525" s="11" t="s">
        <v>58</v>
      </c>
      <c r="H525" s="11" t="s">
        <v>3119</v>
      </c>
      <c r="I525" s="11" t="s">
        <v>3120</v>
      </c>
      <c r="J525" s="12" t="s">
        <v>8</v>
      </c>
      <c r="K525" s="12"/>
      <c r="L525" s="12"/>
      <c r="M525" s="12"/>
      <c r="N525" s="12"/>
      <c r="O525" s="12" t="s">
        <v>60</v>
      </c>
      <c r="P525" s="12"/>
      <c r="Q525" s="12"/>
      <c r="R525" s="12"/>
      <c r="S525" s="12"/>
      <c r="T525" s="13" t="str">
        <f t="shared" si="40"/>
        <v>通過</v>
      </c>
      <c r="U525" s="13" t="str">
        <f t="shared" si="41"/>
        <v>不要隨便亂丟垃圾</v>
      </c>
      <c r="V525" s="13" t="str">
        <f t="shared" si="42"/>
        <v>你/髒/丟/隨便/不要</v>
      </c>
      <c r="W525" s="13" t="str">
        <f t="shared" si="43"/>
        <v>是</v>
      </c>
      <c r="X525" s="13" t="str">
        <f t="shared" si="44"/>
        <v>通過</v>
      </c>
    </row>
    <row r="526" spans="1:24" ht="34" customHeight="1">
      <c r="A526" s="11" t="s">
        <v>3121</v>
      </c>
      <c r="B526" s="11" t="s">
        <v>3121</v>
      </c>
      <c r="C526" s="11" t="s">
        <v>54</v>
      </c>
      <c r="D526" s="11" t="s">
        <v>3122</v>
      </c>
      <c r="E526" s="11" t="s">
        <v>3123</v>
      </c>
      <c r="F526" s="11" t="s">
        <v>3124</v>
      </c>
      <c r="G526" s="11" t="s">
        <v>58</v>
      </c>
      <c r="H526" s="11" t="s">
        <v>3125</v>
      </c>
      <c r="I526" s="11" t="s">
        <v>3126</v>
      </c>
      <c r="J526" s="12" t="s">
        <v>8</v>
      </c>
      <c r="K526" s="12"/>
      <c r="L526" s="12"/>
      <c r="M526" s="12"/>
      <c r="N526" s="12"/>
      <c r="O526" s="12" t="s">
        <v>60</v>
      </c>
      <c r="P526" s="12"/>
      <c r="Q526" s="12"/>
      <c r="R526" s="12"/>
      <c r="S526" s="12"/>
      <c r="T526" s="13" t="str">
        <f t="shared" si="40"/>
        <v>通過</v>
      </c>
      <c r="U526" s="13" t="str">
        <f t="shared" si="41"/>
        <v>你剛剛說了什麼?</v>
      </c>
      <c r="V526" s="13" t="str">
        <f t="shared" si="42"/>
        <v>你/剛剛/說/什麼</v>
      </c>
      <c r="W526" s="13" t="str">
        <f t="shared" si="43"/>
        <v>是</v>
      </c>
      <c r="X526" s="13" t="str">
        <f t="shared" si="44"/>
        <v>通過</v>
      </c>
    </row>
    <row r="527" spans="1:24" ht="34" customHeight="1">
      <c r="A527" s="11" t="s">
        <v>3127</v>
      </c>
      <c r="B527" s="11" t="s">
        <v>3127</v>
      </c>
      <c r="C527" s="11" t="s">
        <v>54</v>
      </c>
      <c r="D527" s="11" t="s">
        <v>3128</v>
      </c>
      <c r="E527" s="11" t="s">
        <v>3129</v>
      </c>
      <c r="F527" s="11" t="s">
        <v>3130</v>
      </c>
      <c r="G527" s="11" t="s">
        <v>58</v>
      </c>
      <c r="H527" s="11" t="s">
        <v>3131</v>
      </c>
      <c r="I527" s="11" t="s">
        <v>3132</v>
      </c>
      <c r="J527" s="12" t="s">
        <v>8</v>
      </c>
      <c r="K527" s="12"/>
      <c r="L527" s="12"/>
      <c r="M527" s="12"/>
      <c r="N527" s="12"/>
      <c r="O527" s="12" t="s">
        <v>60</v>
      </c>
      <c r="P527" s="12"/>
      <c r="Q527" s="12"/>
      <c r="R527" s="12"/>
      <c r="S527" s="12"/>
      <c r="T527" s="13" t="str">
        <f t="shared" si="40"/>
        <v>通過</v>
      </c>
      <c r="U527" s="13" t="str">
        <f t="shared" si="41"/>
        <v>那個人是誰?</v>
      </c>
      <c r="V527" s="13" t="str">
        <f t="shared" si="42"/>
        <v>那/人/他/誰</v>
      </c>
      <c r="W527" s="13" t="str">
        <f t="shared" si="43"/>
        <v>是</v>
      </c>
      <c r="X527" s="13" t="str">
        <f t="shared" si="44"/>
        <v>通過</v>
      </c>
    </row>
    <row r="528" spans="1:24" ht="34" customHeight="1">
      <c r="A528" s="11" t="s">
        <v>3133</v>
      </c>
      <c r="B528" s="11" t="s">
        <v>3133</v>
      </c>
      <c r="C528" s="11" t="s">
        <v>54</v>
      </c>
      <c r="D528" s="11" t="s">
        <v>3134</v>
      </c>
      <c r="E528" s="11" t="s">
        <v>3135</v>
      </c>
      <c r="F528" s="11" t="s">
        <v>3136</v>
      </c>
      <c r="G528" s="11" t="s">
        <v>58</v>
      </c>
      <c r="H528" s="11" t="s">
        <v>3137</v>
      </c>
      <c r="I528" s="11" t="s">
        <v>3138</v>
      </c>
      <c r="J528" s="12" t="s">
        <v>8</v>
      </c>
      <c r="K528" s="12"/>
      <c r="L528" s="12"/>
      <c r="M528" s="12"/>
      <c r="N528" s="12"/>
      <c r="O528" s="12" t="s">
        <v>60</v>
      </c>
      <c r="P528" s="12"/>
      <c r="Q528" s="12"/>
      <c r="R528" s="12"/>
      <c r="S528" s="12"/>
      <c r="T528" s="13" t="str">
        <f t="shared" si="40"/>
        <v>通過</v>
      </c>
      <c r="U528" s="13" t="str">
        <f t="shared" si="41"/>
        <v>你為什麼不相信我?</v>
      </c>
      <c r="V528" s="13" t="str">
        <f t="shared" si="42"/>
        <v>你/相信我/為什麼/相信我/不/相信我/為什麼</v>
      </c>
      <c r="W528" s="13" t="str">
        <f t="shared" si="43"/>
        <v>是</v>
      </c>
      <c r="X528" s="13" t="str">
        <f t="shared" si="44"/>
        <v>通過</v>
      </c>
    </row>
    <row r="529" spans="1:24" ht="34" customHeight="1">
      <c r="A529" s="11" t="s">
        <v>3139</v>
      </c>
      <c r="B529" s="11" t="s">
        <v>3139</v>
      </c>
      <c r="C529" s="11" t="s">
        <v>54</v>
      </c>
      <c r="D529" s="11" t="s">
        <v>3140</v>
      </c>
      <c r="E529" s="11" t="s">
        <v>3141</v>
      </c>
      <c r="F529" s="11" t="s">
        <v>3142</v>
      </c>
      <c r="G529" s="11" t="s">
        <v>58</v>
      </c>
      <c r="H529" s="11" t="s">
        <v>3143</v>
      </c>
      <c r="I529" s="11" t="s">
        <v>3144</v>
      </c>
      <c r="J529" s="12" t="s">
        <v>8</v>
      </c>
      <c r="K529" s="12"/>
      <c r="L529" s="12"/>
      <c r="M529" s="12"/>
      <c r="N529" s="12"/>
      <c r="O529" s="12" t="s">
        <v>60</v>
      </c>
      <c r="P529" s="12"/>
      <c r="Q529" s="12"/>
      <c r="R529" s="12"/>
      <c r="S529" s="12"/>
      <c r="T529" s="13" t="str">
        <f t="shared" si="40"/>
        <v>通過</v>
      </c>
      <c r="U529" s="13" t="str">
        <f t="shared" si="41"/>
        <v>他願意和你結婚嗎？</v>
      </c>
      <c r="V529" s="13" t="str">
        <f t="shared" si="42"/>
        <v>他/你/結婚/他/肯</v>
      </c>
      <c r="W529" s="13" t="str">
        <f t="shared" si="43"/>
        <v>是</v>
      </c>
      <c r="X529" s="13" t="str">
        <f t="shared" si="44"/>
        <v>通過</v>
      </c>
    </row>
    <row r="530" spans="1:24" ht="34" customHeight="1">
      <c r="A530" s="11" t="s">
        <v>3145</v>
      </c>
      <c r="B530" s="11" t="s">
        <v>3145</v>
      </c>
      <c r="C530" s="11" t="s">
        <v>54</v>
      </c>
      <c r="D530" s="11" t="s">
        <v>3146</v>
      </c>
      <c r="E530" s="11" t="s">
        <v>3147</v>
      </c>
      <c r="F530" s="11" t="s">
        <v>3148</v>
      </c>
      <c r="G530" s="11" t="s">
        <v>58</v>
      </c>
      <c r="H530" s="11" t="s">
        <v>3149</v>
      </c>
      <c r="I530" s="11" t="s">
        <v>3150</v>
      </c>
      <c r="J530" s="12" t="s">
        <v>8</v>
      </c>
      <c r="K530" s="12"/>
      <c r="L530" s="12"/>
      <c r="M530" s="12"/>
      <c r="N530" s="12"/>
      <c r="O530" s="12" t="s">
        <v>60</v>
      </c>
      <c r="P530" s="12"/>
      <c r="Q530" s="12"/>
      <c r="R530" s="12"/>
      <c r="S530" s="12"/>
      <c r="T530" s="13" t="str">
        <f t="shared" si="40"/>
        <v>通過</v>
      </c>
      <c r="U530" s="13" t="str">
        <f t="shared" si="41"/>
        <v>這塊木頭很稀有</v>
      </c>
      <c r="V530" s="13" t="str">
        <f t="shared" si="42"/>
        <v>這/木/塊/整/稀少</v>
      </c>
      <c r="W530" s="13" t="str">
        <f t="shared" si="43"/>
        <v>是</v>
      </c>
      <c r="X530" s="13" t="str">
        <f t="shared" si="44"/>
        <v>通過</v>
      </c>
    </row>
    <row r="531" spans="1:24" ht="34" customHeight="1">
      <c r="A531" s="11" t="s">
        <v>3151</v>
      </c>
      <c r="B531" s="11" t="s">
        <v>3151</v>
      </c>
      <c r="C531" s="11" t="s">
        <v>54</v>
      </c>
      <c r="D531" s="11" t="s">
        <v>3152</v>
      </c>
      <c r="E531" s="11" t="s">
        <v>3153</v>
      </c>
      <c r="F531" s="11" t="s">
        <v>3154</v>
      </c>
      <c r="G531" s="11" t="s">
        <v>58</v>
      </c>
      <c r="H531" s="11" t="s">
        <v>3155</v>
      </c>
      <c r="I531" s="11" t="s">
        <v>3156</v>
      </c>
      <c r="J531" s="12" t="s">
        <v>8</v>
      </c>
      <c r="K531" s="12"/>
      <c r="L531" s="12"/>
      <c r="M531" s="12"/>
      <c r="N531" s="12"/>
      <c r="O531" s="12" t="s">
        <v>60</v>
      </c>
      <c r="P531" s="12"/>
      <c r="Q531" s="12"/>
      <c r="R531" s="12"/>
      <c r="S531" s="12"/>
      <c r="T531" s="13" t="str">
        <f t="shared" si="40"/>
        <v>通過</v>
      </c>
      <c r="U531" s="13" t="str">
        <f t="shared" si="41"/>
        <v>希望世界和平</v>
      </c>
      <c r="V531" s="13" t="str">
        <f t="shared" si="42"/>
        <v>希望/世界/和平</v>
      </c>
      <c r="W531" s="13" t="str">
        <f t="shared" si="43"/>
        <v>是</v>
      </c>
      <c r="X531" s="13" t="str">
        <f t="shared" si="44"/>
        <v>通過</v>
      </c>
    </row>
    <row r="532" spans="1:24" ht="34" customHeight="1">
      <c r="A532" s="11" t="s">
        <v>3157</v>
      </c>
      <c r="B532" s="11" t="s">
        <v>3157</v>
      </c>
      <c r="C532" s="11" t="s">
        <v>54</v>
      </c>
      <c r="D532" s="11" t="s">
        <v>3158</v>
      </c>
      <c r="E532" s="11" t="s">
        <v>3159</v>
      </c>
      <c r="F532" s="11" t="s">
        <v>3160</v>
      </c>
      <c r="G532" s="11" t="s">
        <v>58</v>
      </c>
      <c r="H532" s="11" t="s">
        <v>3161</v>
      </c>
      <c r="I532" s="11" t="s">
        <v>3162</v>
      </c>
      <c r="J532" s="12" t="s">
        <v>8</v>
      </c>
      <c r="K532" s="12"/>
      <c r="L532" s="12"/>
      <c r="M532" s="12"/>
      <c r="N532" s="12"/>
      <c r="O532" s="12" t="s">
        <v>60</v>
      </c>
      <c r="P532" s="12"/>
      <c r="Q532" s="12"/>
      <c r="R532" s="12"/>
      <c r="S532" s="12"/>
      <c r="T532" s="13" t="str">
        <f t="shared" si="40"/>
        <v>通過</v>
      </c>
      <c r="U532" s="13" t="str">
        <f t="shared" si="41"/>
        <v>弟弟寫了一份備忘錄</v>
      </c>
      <c r="V532" s="13" t="str">
        <f t="shared" si="42"/>
        <v>弟弟/寫/紀錄/張/紀錄/寫</v>
      </c>
      <c r="W532" s="13" t="str">
        <f t="shared" si="43"/>
        <v>是</v>
      </c>
      <c r="X532" s="13" t="str">
        <f t="shared" si="44"/>
        <v>通過</v>
      </c>
    </row>
    <row r="533" spans="1:24" ht="34" customHeight="1">
      <c r="A533" s="11" t="s">
        <v>3163</v>
      </c>
      <c r="B533" s="11" t="s">
        <v>3163</v>
      </c>
      <c r="C533" s="11" t="s">
        <v>54</v>
      </c>
      <c r="D533" s="11" t="s">
        <v>3164</v>
      </c>
      <c r="E533" s="11" t="s">
        <v>3165</v>
      </c>
      <c r="F533" s="11" t="s">
        <v>3166</v>
      </c>
      <c r="G533" s="11" t="s">
        <v>58</v>
      </c>
      <c r="H533" s="11" t="s">
        <v>3167</v>
      </c>
      <c r="I533" s="11" t="s">
        <v>3168</v>
      </c>
      <c r="J533" s="12" t="s">
        <v>8</v>
      </c>
      <c r="K533" s="12"/>
      <c r="L533" s="12"/>
      <c r="M533" s="12"/>
      <c r="N533" s="12"/>
      <c r="O533" s="12" t="s">
        <v>60</v>
      </c>
      <c r="P533" s="12"/>
      <c r="Q533" s="12"/>
      <c r="R533" s="12"/>
      <c r="S533" s="12"/>
      <c r="T533" s="13" t="str">
        <f t="shared" si="40"/>
        <v>通過</v>
      </c>
      <c r="U533" s="13" t="str">
        <f t="shared" si="41"/>
        <v>今年是2020年</v>
      </c>
      <c r="V533" s="13" t="str">
        <f t="shared" si="42"/>
        <v>今年/2020/年</v>
      </c>
      <c r="W533" s="13" t="str">
        <f t="shared" si="43"/>
        <v>是</v>
      </c>
      <c r="X533" s="13" t="str">
        <f t="shared" si="44"/>
        <v>通過</v>
      </c>
    </row>
    <row r="534" spans="1:24" ht="34" customHeight="1">
      <c r="A534" s="11" t="s">
        <v>3169</v>
      </c>
      <c r="B534" s="11" t="s">
        <v>3169</v>
      </c>
      <c r="C534" s="11" t="s">
        <v>54</v>
      </c>
      <c r="D534" s="11" t="s">
        <v>3170</v>
      </c>
      <c r="E534" s="11" t="s">
        <v>3171</v>
      </c>
      <c r="F534" s="11" t="s">
        <v>3172</v>
      </c>
      <c r="G534" s="11" t="s">
        <v>58</v>
      </c>
      <c r="H534" s="11" t="s">
        <v>3173</v>
      </c>
      <c r="I534" s="11" t="s">
        <v>3174</v>
      </c>
      <c r="J534" s="12" t="s">
        <v>8</v>
      </c>
      <c r="K534" s="12"/>
      <c r="L534" s="12"/>
      <c r="M534" s="12"/>
      <c r="N534" s="12"/>
      <c r="O534" s="12" t="s">
        <v>60</v>
      </c>
      <c r="P534" s="12"/>
      <c r="Q534" s="12"/>
      <c r="R534" s="12"/>
      <c r="S534" s="12"/>
      <c r="T534" s="13" t="str">
        <f t="shared" si="40"/>
        <v>通過</v>
      </c>
      <c r="U534" s="13" t="str">
        <f t="shared" si="41"/>
        <v>香蕉成熟後的外皮是黃色的</v>
      </c>
      <c r="V534" s="13" t="str">
        <f t="shared" si="42"/>
        <v>香蕉/外/皮/熱/變/黃</v>
      </c>
      <c r="W534" s="13" t="str">
        <f t="shared" si="43"/>
        <v>是</v>
      </c>
      <c r="X534" s="13" t="str">
        <f t="shared" si="44"/>
        <v>通過</v>
      </c>
    </row>
    <row r="535" spans="1:24" ht="34" customHeight="1">
      <c r="A535" s="11" t="s">
        <v>3175</v>
      </c>
      <c r="B535" s="11" t="s">
        <v>3175</v>
      </c>
      <c r="C535" s="11" t="s">
        <v>54</v>
      </c>
      <c r="D535" s="11" t="s">
        <v>3176</v>
      </c>
      <c r="E535" s="11" t="s">
        <v>3177</v>
      </c>
      <c r="F535" s="11" t="s">
        <v>3178</v>
      </c>
      <c r="G535" s="11" t="s">
        <v>58</v>
      </c>
      <c r="H535" s="11" t="s">
        <v>3179</v>
      </c>
      <c r="I535" s="11" t="s">
        <v>3180</v>
      </c>
      <c r="J535" s="12" t="s">
        <v>8</v>
      </c>
      <c r="K535" s="12"/>
      <c r="L535" s="12"/>
      <c r="M535" s="12"/>
      <c r="N535" s="12"/>
      <c r="O535" s="12" t="s">
        <v>60</v>
      </c>
      <c r="P535" s="12"/>
      <c r="Q535" s="12"/>
      <c r="R535" s="12"/>
      <c r="S535" s="12"/>
      <c r="T535" s="13" t="str">
        <f t="shared" si="40"/>
        <v>通過</v>
      </c>
      <c r="U535" s="13" t="str">
        <f t="shared" si="41"/>
        <v>我昨天去看電影</v>
      </c>
      <c r="V535" s="13" t="str">
        <f t="shared" si="42"/>
        <v>我/昨天/電影/欣賞</v>
      </c>
      <c r="W535" s="13" t="str">
        <f t="shared" si="43"/>
        <v>是</v>
      </c>
      <c r="X535" s="13" t="str">
        <f t="shared" si="44"/>
        <v>通過</v>
      </c>
    </row>
    <row r="536" spans="1:24" ht="34" customHeight="1">
      <c r="A536" s="11" t="s">
        <v>3181</v>
      </c>
      <c r="B536" s="11" t="s">
        <v>3181</v>
      </c>
      <c r="C536" s="11" t="s">
        <v>54</v>
      </c>
      <c r="D536" s="11" t="s">
        <v>3182</v>
      </c>
      <c r="E536" s="11" t="s">
        <v>3183</v>
      </c>
      <c r="F536" s="11" t="s">
        <v>3184</v>
      </c>
      <c r="G536" s="11" t="s">
        <v>58</v>
      </c>
      <c r="H536" s="11" t="s">
        <v>3185</v>
      </c>
      <c r="I536" s="11" t="s">
        <v>3186</v>
      </c>
      <c r="J536" s="12" t="s">
        <v>8</v>
      </c>
      <c r="K536" s="12"/>
      <c r="L536" s="12"/>
      <c r="M536" s="12"/>
      <c r="N536" s="12"/>
      <c r="O536" s="12" t="s">
        <v>60</v>
      </c>
      <c r="P536" s="12"/>
      <c r="Q536" s="12"/>
      <c r="R536" s="12"/>
      <c r="S536" s="12"/>
      <c r="T536" s="13" t="str">
        <f t="shared" si="40"/>
        <v>通過</v>
      </c>
      <c r="U536" s="13" t="str">
        <f t="shared" si="41"/>
        <v>爸爸原諒妹妹打破花瓶</v>
      </c>
      <c r="V536" s="13" t="str">
        <f t="shared" si="42"/>
        <v>花瓶/妹妹/打破/爸爸/原諒</v>
      </c>
      <c r="W536" s="13" t="str">
        <f t="shared" si="43"/>
        <v>是</v>
      </c>
      <c r="X536" s="13" t="str">
        <f t="shared" si="44"/>
        <v>通過</v>
      </c>
    </row>
    <row r="537" spans="1:24" ht="34" customHeight="1">
      <c r="A537" s="11" t="s">
        <v>3187</v>
      </c>
      <c r="B537" s="11" t="s">
        <v>3187</v>
      </c>
      <c r="C537" s="11" t="s">
        <v>54</v>
      </c>
      <c r="D537" s="11" t="s">
        <v>3188</v>
      </c>
      <c r="E537" s="11" t="s">
        <v>3189</v>
      </c>
      <c r="F537" s="11" t="s">
        <v>3190</v>
      </c>
      <c r="G537" s="11" t="s">
        <v>58</v>
      </c>
      <c r="H537" s="11" t="s">
        <v>3191</v>
      </c>
      <c r="I537" s="11" t="s">
        <v>3192</v>
      </c>
      <c r="J537" s="12" t="s">
        <v>8</v>
      </c>
      <c r="K537" s="12"/>
      <c r="L537" s="12"/>
      <c r="M537" s="12"/>
      <c r="N537" s="12"/>
      <c r="O537" s="12" t="s">
        <v>60</v>
      </c>
      <c r="P537" s="12"/>
      <c r="Q537" s="12"/>
      <c r="R537" s="12"/>
      <c r="S537" s="12"/>
      <c r="T537" s="13" t="str">
        <f t="shared" si="40"/>
        <v>通過</v>
      </c>
      <c r="U537" s="13" t="str">
        <f t="shared" si="41"/>
        <v>年輕的時候要多閱讀</v>
      </c>
      <c r="V537" s="13" t="str">
        <f t="shared" si="42"/>
        <v>年輕/過去/年輕/時間/讀書/多/讀書/要</v>
      </c>
      <c r="W537" s="13" t="str">
        <f t="shared" si="43"/>
        <v>是</v>
      </c>
      <c r="X537" s="13" t="str">
        <f t="shared" si="44"/>
        <v>通過</v>
      </c>
    </row>
    <row r="538" spans="1:24" ht="34" customHeight="1">
      <c r="A538" s="11" t="s">
        <v>3193</v>
      </c>
      <c r="B538" s="11" t="s">
        <v>3193</v>
      </c>
      <c r="C538" s="11" t="s">
        <v>54</v>
      </c>
      <c r="D538" s="11" t="s">
        <v>3194</v>
      </c>
      <c r="E538" s="11" t="s">
        <v>3195</v>
      </c>
      <c r="F538" s="11" t="s">
        <v>3196</v>
      </c>
      <c r="G538" s="11" t="s">
        <v>58</v>
      </c>
      <c r="H538" s="11" t="s">
        <v>3197</v>
      </c>
      <c r="I538" s="11" t="s">
        <v>3198</v>
      </c>
      <c r="J538" s="12" t="s">
        <v>8</v>
      </c>
      <c r="K538" s="12"/>
      <c r="L538" s="12"/>
      <c r="M538" s="12"/>
      <c r="N538" s="12"/>
      <c r="O538" s="12" t="s">
        <v>60</v>
      </c>
      <c r="P538" s="12"/>
      <c r="Q538" s="12"/>
      <c r="R538" s="12"/>
      <c r="S538" s="12"/>
      <c r="T538" s="13" t="str">
        <f t="shared" si="40"/>
        <v>通過</v>
      </c>
      <c r="U538" s="13" t="str">
        <f t="shared" si="41"/>
        <v>妹妹很喜歡那個男生</v>
      </c>
      <c r="V538" s="13" t="str">
        <f t="shared" si="42"/>
        <v>他/男/妹妹/見/喜歡</v>
      </c>
      <c r="W538" s="13" t="str">
        <f t="shared" si="43"/>
        <v>是</v>
      </c>
      <c r="X538" s="13" t="str">
        <f t="shared" si="44"/>
        <v>通過</v>
      </c>
    </row>
    <row r="539" spans="1:24" ht="34" customHeight="1">
      <c r="A539" s="11" t="s">
        <v>3199</v>
      </c>
      <c r="B539" s="11" t="s">
        <v>3199</v>
      </c>
      <c r="C539" s="11" t="s">
        <v>54</v>
      </c>
      <c r="D539" s="11" t="s">
        <v>3194</v>
      </c>
      <c r="E539" s="11" t="s">
        <v>3200</v>
      </c>
      <c r="F539" s="11" t="s">
        <v>3201</v>
      </c>
      <c r="G539" s="11" t="s">
        <v>58</v>
      </c>
      <c r="H539" s="11" t="s">
        <v>3202</v>
      </c>
      <c r="I539" s="11" t="s">
        <v>3203</v>
      </c>
      <c r="J539" s="12" t="s">
        <v>8</v>
      </c>
      <c r="K539" s="12"/>
      <c r="L539" s="12"/>
      <c r="M539" s="12"/>
      <c r="N539" s="12"/>
      <c r="O539" s="12" t="s">
        <v>60</v>
      </c>
      <c r="P539" s="12"/>
      <c r="Q539" s="12"/>
      <c r="R539" s="12"/>
      <c r="S539" s="12"/>
      <c r="T539" s="13" t="str">
        <f t="shared" si="40"/>
        <v>通過</v>
      </c>
      <c r="U539" s="13" t="str">
        <f t="shared" si="41"/>
        <v>他有三個弟弟兩個妹妹</v>
      </c>
      <c r="V539" s="13" t="str">
        <f t="shared" si="42"/>
        <v>他/弟弟/三/妹妹/二</v>
      </c>
      <c r="W539" s="13" t="str">
        <f t="shared" si="43"/>
        <v>是</v>
      </c>
      <c r="X539" s="13" t="str">
        <f t="shared" si="44"/>
        <v>通過</v>
      </c>
    </row>
    <row r="540" spans="1:24" ht="34" customHeight="1">
      <c r="A540" s="11" t="s">
        <v>3204</v>
      </c>
      <c r="B540" s="11" t="s">
        <v>3204</v>
      </c>
      <c r="C540" s="11" t="s">
        <v>54</v>
      </c>
      <c r="D540" s="11" t="s">
        <v>3205</v>
      </c>
      <c r="E540" s="11" t="s">
        <v>3206</v>
      </c>
      <c r="F540" s="11" t="s">
        <v>3207</v>
      </c>
      <c r="G540" s="11" t="s">
        <v>58</v>
      </c>
      <c r="H540" s="11" t="s">
        <v>3208</v>
      </c>
      <c r="I540" s="11" t="s">
        <v>3209</v>
      </c>
      <c r="J540" s="12" t="s">
        <v>8</v>
      </c>
      <c r="K540" s="12"/>
      <c r="L540" s="12"/>
      <c r="M540" s="12"/>
      <c r="N540" s="12"/>
      <c r="O540" s="12" t="s">
        <v>60</v>
      </c>
      <c r="P540" s="12"/>
      <c r="Q540" s="12"/>
      <c r="R540" s="12"/>
      <c r="S540" s="12"/>
      <c r="T540" s="13" t="str">
        <f t="shared" si="40"/>
        <v>通過</v>
      </c>
      <c r="U540" s="13" t="str">
        <f t="shared" si="41"/>
        <v>妹妹沒有看過雪</v>
      </c>
      <c r="V540" s="13" t="str">
        <f t="shared" si="42"/>
        <v>雪/妹妹/見/從來沒有</v>
      </c>
      <c r="W540" s="13" t="str">
        <f t="shared" si="43"/>
        <v>是</v>
      </c>
      <c r="X540" s="13" t="str">
        <f t="shared" si="44"/>
        <v>通過</v>
      </c>
    </row>
    <row r="541" spans="1:24" ht="34" customHeight="1">
      <c r="A541" s="11" t="s">
        <v>3210</v>
      </c>
      <c r="B541" s="11" t="s">
        <v>3210</v>
      </c>
      <c r="C541" s="11" t="s">
        <v>54</v>
      </c>
      <c r="D541" s="11" t="s">
        <v>3211</v>
      </c>
      <c r="E541" s="11" t="s">
        <v>3212</v>
      </c>
      <c r="F541" s="11" t="s">
        <v>3213</v>
      </c>
      <c r="G541" s="11" t="s">
        <v>58</v>
      </c>
      <c r="H541" s="11" t="s">
        <v>3214</v>
      </c>
      <c r="I541" s="11" t="s">
        <v>3215</v>
      </c>
      <c r="J541" s="12" t="s">
        <v>8</v>
      </c>
      <c r="K541" s="12"/>
      <c r="L541" s="12"/>
      <c r="M541" s="12"/>
      <c r="N541" s="12"/>
      <c r="O541" s="12" t="s">
        <v>60</v>
      </c>
      <c r="P541" s="12"/>
      <c r="Q541" s="12"/>
      <c r="R541" s="12"/>
      <c r="S541" s="12"/>
      <c r="T541" s="13" t="str">
        <f t="shared" si="40"/>
        <v>通過</v>
      </c>
      <c r="U541" s="13" t="str">
        <f t="shared" si="41"/>
        <v>他的眼睛亮了起來</v>
      </c>
      <c r="V541" s="13" t="str">
        <f t="shared" si="42"/>
        <v>他/眼睛/這/亮</v>
      </c>
      <c r="W541" s="13" t="str">
        <f t="shared" si="43"/>
        <v>是</v>
      </c>
      <c r="X541" s="13" t="str">
        <f t="shared" si="44"/>
        <v>通過</v>
      </c>
    </row>
    <row r="542" spans="1:24" ht="34" customHeight="1">
      <c r="A542" s="11" t="s">
        <v>3216</v>
      </c>
      <c r="B542" s="11" t="s">
        <v>3216</v>
      </c>
      <c r="C542" s="11" t="s">
        <v>54</v>
      </c>
      <c r="D542" s="11" t="s">
        <v>3217</v>
      </c>
      <c r="E542" s="11" t="s">
        <v>3218</v>
      </c>
      <c r="F542" s="11" t="s">
        <v>3219</v>
      </c>
      <c r="G542" s="11" t="s">
        <v>58</v>
      </c>
      <c r="H542" s="11" t="s">
        <v>3220</v>
      </c>
      <c r="I542" s="11" t="s">
        <v>3221</v>
      </c>
      <c r="J542" s="12" t="s">
        <v>8</v>
      </c>
      <c r="K542" s="12"/>
      <c r="L542" s="12"/>
      <c r="M542" s="12"/>
      <c r="N542" s="12"/>
      <c r="O542" s="12" t="s">
        <v>60</v>
      </c>
      <c r="P542" s="12"/>
      <c r="Q542" s="12"/>
      <c r="R542" s="12"/>
      <c r="S542" s="12"/>
      <c r="T542" s="13" t="str">
        <f t="shared" si="40"/>
        <v>通過</v>
      </c>
      <c r="U542" s="13" t="str">
        <f t="shared" si="41"/>
        <v>他考試得零分</v>
      </c>
      <c r="V542" s="13" t="str">
        <f t="shared" si="42"/>
        <v>他/考試/零分</v>
      </c>
      <c r="W542" s="13" t="str">
        <f t="shared" si="43"/>
        <v>是</v>
      </c>
      <c r="X542" s="13" t="str">
        <f t="shared" si="44"/>
        <v>通過</v>
      </c>
    </row>
    <row r="543" spans="1:24" ht="34" customHeight="1">
      <c r="A543" s="11" t="s">
        <v>3222</v>
      </c>
      <c r="B543" s="11" t="s">
        <v>3222</v>
      </c>
      <c r="C543" s="11" t="s">
        <v>54</v>
      </c>
      <c r="D543" s="11" t="s">
        <v>3223</v>
      </c>
      <c r="E543" s="11" t="s">
        <v>3224</v>
      </c>
      <c r="F543" s="11" t="s">
        <v>3225</v>
      </c>
      <c r="G543" s="11" t="s">
        <v>58</v>
      </c>
      <c r="H543" s="11" t="s">
        <v>3226</v>
      </c>
      <c r="I543" s="11" t="s">
        <v>3227</v>
      </c>
      <c r="J543" s="12" t="s">
        <v>3253</v>
      </c>
      <c r="K543" s="12"/>
      <c r="L543" s="12"/>
      <c r="M543" s="12"/>
      <c r="N543" s="12"/>
      <c r="O543" s="12" t="s">
        <v>3250</v>
      </c>
      <c r="P543" s="12"/>
      <c r="Q543" s="12"/>
      <c r="R543" s="12"/>
      <c r="S543" s="12"/>
      <c r="T543" s="13" t="str">
        <f t="shared" si="40"/>
        <v>通過</v>
      </c>
      <c r="U543" s="13" t="str">
        <f t="shared" si="41"/>
        <v>他把暑假作業完成了</v>
      </c>
      <c r="V543" s="13" t="str">
        <f t="shared" si="42"/>
        <v>他/暑假/作業/寫/全部/結束</v>
      </c>
      <c r="W543" s="13" t="str">
        <f t="shared" si="43"/>
        <v>是</v>
      </c>
      <c r="X543" s="13" t="str">
        <f t="shared" si="44"/>
        <v>通過</v>
      </c>
    </row>
  </sheetData>
  <phoneticPr fontId="8" type="noConversion"/>
  <conditionalFormatting sqref="J2:J543">
    <cfRule type="containsText" dxfId="4" priority="1" operator="containsText" text="通過"/>
    <cfRule type="containsText" dxfId="3" priority="2" operator="containsText" text="需更正"/>
    <cfRule type="containsText" dxfId="2" priority="3" operator="containsText" text="排除"/>
  </conditionalFormatting>
  <conditionalFormatting sqref="W2:W543">
    <cfRule type="containsText" dxfId="1" priority="5" operator="containsText" text="是"/>
  </conditionalFormatting>
  <conditionalFormatting sqref="X2:X543">
    <cfRule type="beginsWith" dxfId="0" priority="4" operator="beginsWith" text="錯誤"/>
  </conditionalFormatting>
  <dataValidations count="4">
    <dataValidation type="list" sqref="J2:J543" xr:uid="{00000000-0002-0000-0100-000000000000}">
      <formula1>"通過,需更正,排除,需複審"</formula1>
    </dataValidation>
    <dataValidation type="list" sqref="K2:K543" xr:uid="{00000000-0002-0000-0100-000001000000}">
      <formula1>"中文語意錯誤,Gloss詞彙錯誤,Gloss語序錯誤,漏詞,多餘詞,拼寫或格式問題,中文與Gloss不對應,重複或資料衝突,需影片或上下文確認,其他"</formula1>
    </dataValidation>
    <dataValidation type="list" sqref="O2:O543" xr:uid="{00000000-0002-0000-0100-000002000000}">
      <formula1>"否,是"</formula1>
    </dataValidation>
    <dataValidation type="list" sqref="P2:P543" xr:uid="{00000000-0002-0000-0100-000003000000}">
      <formula1>"通過,需更正,排除,仍需複審"</formula1>
    </dataValidation>
  </dataValidations>
  <hyperlinks>
    <hyperlink ref="H2" r:id="rId1" xr:uid="{5061F795-EB6B-46F3-A6E9-6D723D8B95E9}"/>
    <hyperlink ref="H3" r:id="rId2" xr:uid="{1DC7150B-0A33-4ACE-95FA-D29830A80361}"/>
  </hyperlinks>
  <pageMargins left="0.7" right="0.7" top="0.75" bottom="0.75" header="0.3" footer="0.3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showGridLines="0" workbookViewId="0"/>
  </sheetViews>
  <sheetFormatPr baseColWidth="10" defaultColWidth="8.83203125" defaultRowHeight="14"/>
  <cols>
    <col min="1" max="1" width="28" customWidth="1"/>
    <col min="2" max="2" width="16" customWidth="1"/>
    <col min="3" max="4" width="14" customWidth="1"/>
  </cols>
  <sheetData>
    <row r="1" spans="1:4" ht="21">
      <c r="A1" s="16" t="s">
        <v>3228</v>
      </c>
      <c r="B1" s="16"/>
      <c r="C1" s="16"/>
      <c r="D1" s="16"/>
    </row>
    <row r="3" spans="1:4" ht="15">
      <c r="A3" s="3" t="s">
        <v>3229</v>
      </c>
      <c r="B3" s="3" t="s">
        <v>3230</v>
      </c>
    </row>
    <row r="4" spans="1:4" ht="15">
      <c r="A4" s="5" t="s">
        <v>3231</v>
      </c>
      <c r="B4" s="7">
        <f>COUNTA(人工校訂!$A$2:$A$543)</f>
        <v>542</v>
      </c>
    </row>
    <row r="5" spans="1:4" ht="15">
      <c r="A5" s="5" t="s">
        <v>3232</v>
      </c>
      <c r="B5" s="7">
        <f>COUNTIF(人工校訂!$T$2:$T$543,"未填")</f>
        <v>0</v>
      </c>
    </row>
    <row r="6" spans="1:4" ht="15">
      <c r="A6" s="5" t="s">
        <v>8</v>
      </c>
      <c r="B6" s="7">
        <f>COUNTIF(人工校訂!$T$2:$T$543,"通過")</f>
        <v>532</v>
      </c>
    </row>
    <row r="7" spans="1:4" ht="15">
      <c r="A7" s="5" t="s">
        <v>10</v>
      </c>
      <c r="B7" s="7">
        <f>COUNTIF(人工校訂!$T$2:$T$543,"需更正")</f>
        <v>10</v>
      </c>
    </row>
    <row r="8" spans="1:4" ht="15">
      <c r="A8" s="5" t="s">
        <v>12</v>
      </c>
      <c r="B8" s="7">
        <f>COUNTIF(人工校訂!$T$2:$T$543,"排除")</f>
        <v>0</v>
      </c>
    </row>
    <row r="9" spans="1:4" ht="15">
      <c r="A9" s="5" t="s">
        <v>3233</v>
      </c>
      <c r="B9" s="7">
        <f>COUNTIF(人工校訂!$T$2:$T$543,"待複審")</f>
        <v>0</v>
      </c>
    </row>
    <row r="10" spans="1:4" ht="15">
      <c r="A10" s="5" t="s">
        <v>51</v>
      </c>
      <c r="B10" s="7">
        <f>COUNTIF(人工校訂!$W$2:$W$543,"是")</f>
        <v>542</v>
      </c>
    </row>
    <row r="11" spans="1:4" ht="15">
      <c r="A11" s="5" t="s">
        <v>16</v>
      </c>
      <c r="B11" s="7">
        <f>COUNTIF(人工校訂!$O$2:$O$543,"是")</f>
        <v>0</v>
      </c>
    </row>
    <row r="12" spans="1:4" ht="15">
      <c r="A12" s="5" t="s">
        <v>3234</v>
      </c>
      <c r="B12" s="7">
        <f>COUNTIF(人工校訂!$X$2:$X$543,"錯誤*")</f>
        <v>0</v>
      </c>
    </row>
    <row r="14" spans="1:4" ht="15">
      <c r="A14" s="17" t="s">
        <v>3235</v>
      </c>
      <c r="B14" s="17"/>
      <c r="C14" s="17"/>
      <c r="D14" s="17"/>
    </row>
    <row r="15" spans="1:4">
      <c r="A15" s="18" t="s">
        <v>3236</v>
      </c>
      <c r="B15" s="18"/>
      <c r="C15" s="18"/>
      <c r="D15" s="18"/>
    </row>
    <row r="16" spans="1:4">
      <c r="A16" s="18" t="s">
        <v>3237</v>
      </c>
      <c r="B16" s="18"/>
      <c r="C16" s="18"/>
      <c r="D16" s="18"/>
    </row>
  </sheetData>
  <mergeCells count="4">
    <mergeCell ref="A1:D1"/>
    <mergeCell ref="A14:D14"/>
    <mergeCell ref="A15:D15"/>
    <mergeCell ref="A16:D16"/>
  </mergeCells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showGridLines="0" workbookViewId="0"/>
  </sheetViews>
  <sheetFormatPr baseColWidth="10" defaultColWidth="8.83203125" defaultRowHeight="14"/>
  <cols>
    <col min="1" max="2" width="18" customWidth="1"/>
    <col min="3" max="3" width="28" customWidth="1"/>
    <col min="4" max="4" width="18" customWidth="1"/>
  </cols>
  <sheetData>
    <row r="1" spans="1:4" ht="16">
      <c r="A1" s="8" t="s">
        <v>6</v>
      </c>
      <c r="B1" s="8" t="s">
        <v>44</v>
      </c>
      <c r="C1" s="8" t="s">
        <v>23</v>
      </c>
      <c r="D1" s="8" t="s">
        <v>16</v>
      </c>
    </row>
    <row r="2" spans="1:4">
      <c r="A2" s="5" t="s">
        <v>8</v>
      </c>
      <c r="B2" s="5" t="s">
        <v>8</v>
      </c>
      <c r="C2" s="5" t="s">
        <v>3238</v>
      </c>
      <c r="D2" s="5" t="s">
        <v>60</v>
      </c>
    </row>
    <row r="3" spans="1:4">
      <c r="A3" s="5" t="s">
        <v>10</v>
      </c>
      <c r="B3" s="5" t="s">
        <v>10</v>
      </c>
      <c r="C3" s="5" t="s">
        <v>3239</v>
      </c>
      <c r="D3" s="5" t="s">
        <v>3240</v>
      </c>
    </row>
    <row r="4" spans="1:4">
      <c r="A4" s="5" t="s">
        <v>12</v>
      </c>
      <c r="B4" s="5" t="s">
        <v>12</v>
      </c>
      <c r="C4" s="5" t="s">
        <v>29</v>
      </c>
      <c r="D4" s="5"/>
    </row>
    <row r="5" spans="1:4">
      <c r="A5" s="5" t="s">
        <v>14</v>
      </c>
      <c r="B5" s="5" t="s">
        <v>3241</v>
      </c>
      <c r="C5" s="5" t="s">
        <v>3242</v>
      </c>
      <c r="D5" s="5"/>
    </row>
    <row r="6" spans="1:4">
      <c r="A6" s="5"/>
      <c r="B6" s="5"/>
      <c r="C6" s="5" t="s">
        <v>3243</v>
      </c>
      <c r="D6" s="5"/>
    </row>
    <row r="7" spans="1:4">
      <c r="A7" s="5"/>
      <c r="B7" s="5"/>
      <c r="C7" s="5" t="s">
        <v>3244</v>
      </c>
      <c r="D7" s="5"/>
    </row>
    <row r="8" spans="1:4">
      <c r="A8" s="5"/>
      <c r="B8" s="5"/>
      <c r="C8" s="5" t="s">
        <v>33</v>
      </c>
      <c r="D8" s="5"/>
    </row>
    <row r="9" spans="1:4">
      <c r="A9" s="5"/>
      <c r="B9" s="5"/>
      <c r="C9" s="5" t="s">
        <v>3245</v>
      </c>
      <c r="D9" s="5"/>
    </row>
    <row r="10" spans="1:4">
      <c r="A10" s="5"/>
      <c r="B10" s="5"/>
      <c r="C10" s="5" t="s">
        <v>3246</v>
      </c>
      <c r="D10" s="5"/>
    </row>
    <row r="11" spans="1:4">
      <c r="A11" s="5"/>
      <c r="B11" s="5"/>
      <c r="C11" s="5" t="s">
        <v>3247</v>
      </c>
      <c r="D11" s="5"/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填寫說明</vt:lpstr>
      <vt:lpstr>人工校訂</vt:lpstr>
      <vt:lpstr>進度統計</vt:lpstr>
      <vt:lpstr>欄位選項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梁曼璇</cp:lastModifiedBy>
  <cp:revision/>
  <dcterms:created xsi:type="dcterms:W3CDTF">2026-08-13T11:52:16Z</dcterms:created>
  <dcterms:modified xsi:type="dcterms:W3CDTF">2026-08-21T01:17:04Z</dcterms:modified>
  <cp:category/>
  <cp:contentStatus/>
</cp:coreProperties>
</file>